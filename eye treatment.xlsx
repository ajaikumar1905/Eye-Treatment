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(eye data)\"/>
    </mc:Choice>
  </mc:AlternateContent>
  <xr:revisionPtr revIDLastSave="0" documentId="13_ncr:1_{B1CFBB71-E01C-4841-9F18-4AD8CAFCE69D}" xr6:coauthVersionLast="47" xr6:coauthVersionMax="47" xr10:uidLastSave="{00000000-0000-0000-0000-000000000000}"/>
  <bookViews>
    <workbookView xWindow="-120" yWindow="-120" windowWidth="20730" windowHeight="11040" activeTab="2" xr2:uid="{4D3B5EEB-5376-4FBF-8439-8CDD66D0B7BD}"/>
  </bookViews>
  <sheets>
    <sheet name="Surgery &amp; Injection" sheetId="1" r:id="rId1"/>
    <sheet name="Injection" sheetId="2" r:id="rId2"/>
    <sheet name="Surge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3" i="1" l="1"/>
  <c r="Q83" i="1"/>
  <c r="S83" i="1" s="1"/>
  <c r="S42" i="1"/>
  <c r="S58" i="1"/>
  <c r="S74" i="1"/>
  <c r="S82" i="1"/>
  <c r="V8" i="3"/>
  <c r="V5" i="3"/>
  <c r="V3" i="3"/>
  <c r="V4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2" i="3"/>
  <c r="Q157" i="3"/>
  <c r="P178" i="2"/>
  <c r="O178" i="2"/>
  <c r="P156" i="3"/>
  <c r="O156" i="3"/>
  <c r="O2" i="1"/>
  <c r="P2" i="1"/>
  <c r="O3" i="1"/>
  <c r="P3" i="1"/>
  <c r="O177" i="2"/>
  <c r="P177" i="2"/>
  <c r="P155" i="3"/>
  <c r="O155" i="3"/>
  <c r="K155" i="3"/>
  <c r="P154" i="3"/>
  <c r="O154" i="3"/>
  <c r="K154" i="3"/>
  <c r="P153" i="3"/>
  <c r="O153" i="3"/>
  <c r="K153" i="3"/>
  <c r="P152" i="3"/>
  <c r="O152" i="3"/>
  <c r="K152" i="3"/>
  <c r="P151" i="3"/>
  <c r="O151" i="3"/>
  <c r="K151" i="3"/>
  <c r="P150" i="3"/>
  <c r="O150" i="3"/>
  <c r="K150" i="3"/>
  <c r="P149" i="3"/>
  <c r="O149" i="3"/>
  <c r="K149" i="3"/>
  <c r="P148" i="3"/>
  <c r="O148" i="3"/>
  <c r="K148" i="3"/>
  <c r="P147" i="3"/>
  <c r="O147" i="3"/>
  <c r="K147" i="3"/>
  <c r="P146" i="3"/>
  <c r="O146" i="3"/>
  <c r="K146" i="3"/>
  <c r="O145" i="3"/>
  <c r="Q145" i="3" s="1"/>
  <c r="K145" i="3"/>
  <c r="P144" i="3"/>
  <c r="O144" i="3"/>
  <c r="K144" i="3"/>
  <c r="P143" i="3"/>
  <c r="Q143" i="3" s="1"/>
  <c r="K143" i="3"/>
  <c r="P142" i="3"/>
  <c r="O142" i="3"/>
  <c r="K142" i="3"/>
  <c r="P141" i="3"/>
  <c r="Q141" i="3" s="1"/>
  <c r="K141" i="3"/>
  <c r="P140" i="3"/>
  <c r="Q140" i="3" s="1"/>
  <c r="K140" i="3"/>
  <c r="P139" i="3"/>
  <c r="O139" i="3"/>
  <c r="P138" i="3"/>
  <c r="O138" i="3"/>
  <c r="K138" i="3"/>
  <c r="P137" i="3"/>
  <c r="O137" i="3"/>
  <c r="K137" i="3"/>
  <c r="P136" i="3"/>
  <c r="O136" i="3"/>
  <c r="P135" i="3"/>
  <c r="Q135" i="3" s="1"/>
  <c r="P134" i="3"/>
  <c r="O134" i="3"/>
  <c r="P133" i="3"/>
  <c r="O133" i="3"/>
  <c r="Q133" i="3" s="1"/>
  <c r="P132" i="3"/>
  <c r="O132" i="3"/>
  <c r="P131" i="3"/>
  <c r="O131" i="3"/>
  <c r="Q130" i="3"/>
  <c r="P129" i="3"/>
  <c r="O129" i="3"/>
  <c r="P128" i="3"/>
  <c r="Q128" i="3" s="1"/>
  <c r="P127" i="3"/>
  <c r="Q127" i="3" s="1"/>
  <c r="P126" i="3"/>
  <c r="O126" i="3"/>
  <c r="P125" i="3"/>
  <c r="O125" i="3"/>
  <c r="P124" i="3"/>
  <c r="O124" i="3"/>
  <c r="P123" i="3"/>
  <c r="O123" i="3"/>
  <c r="O122" i="3"/>
  <c r="Q122" i="3" s="1"/>
  <c r="P121" i="3"/>
  <c r="O121" i="3"/>
  <c r="P120" i="3"/>
  <c r="O120" i="3"/>
  <c r="P119" i="3"/>
  <c r="O119" i="3"/>
  <c r="Q119" i="3" s="1"/>
  <c r="P118" i="3"/>
  <c r="O118" i="3"/>
  <c r="P117" i="3"/>
  <c r="Q117" i="3" s="1"/>
  <c r="P116" i="3"/>
  <c r="O116" i="3"/>
  <c r="P115" i="3"/>
  <c r="O115" i="3"/>
  <c r="P114" i="3"/>
  <c r="O114" i="3"/>
  <c r="P113" i="3"/>
  <c r="O113" i="3"/>
  <c r="P112" i="3"/>
  <c r="Q112" i="3" s="1"/>
  <c r="P111" i="3"/>
  <c r="O111" i="3"/>
  <c r="P110" i="3"/>
  <c r="Q110" i="3" s="1"/>
  <c r="P109" i="3"/>
  <c r="O109" i="3"/>
  <c r="P108" i="3"/>
  <c r="O108" i="3"/>
  <c r="P107" i="3"/>
  <c r="O107" i="3"/>
  <c r="P106" i="3"/>
  <c r="O106" i="3"/>
  <c r="P105" i="3"/>
  <c r="Q105" i="3" s="1"/>
  <c r="P104" i="3"/>
  <c r="Q104" i="3" s="1"/>
  <c r="O103" i="3"/>
  <c r="Q103" i="3" s="1"/>
  <c r="P102" i="3"/>
  <c r="Q102" i="3" s="1"/>
  <c r="P101" i="3"/>
  <c r="Q101" i="3" s="1"/>
  <c r="P100" i="3"/>
  <c r="O100" i="3"/>
  <c r="P99" i="3"/>
  <c r="O99" i="3"/>
  <c r="P98" i="3"/>
  <c r="O98" i="3"/>
  <c r="P97" i="3"/>
  <c r="Q97" i="3" s="1"/>
  <c r="P96" i="3"/>
  <c r="Q96" i="3" s="1"/>
  <c r="P95" i="3"/>
  <c r="Q95" i="3" s="1"/>
  <c r="P94" i="3"/>
  <c r="Q94" i="3" s="1"/>
  <c r="P93" i="3"/>
  <c r="Q93" i="3" s="1"/>
  <c r="P92" i="3"/>
  <c r="O92" i="3"/>
  <c r="P91" i="3"/>
  <c r="O91" i="3"/>
  <c r="P90" i="3"/>
  <c r="O90" i="3"/>
  <c r="P89" i="3"/>
  <c r="Q89" i="3" s="1"/>
  <c r="P88" i="3"/>
  <c r="Q88" i="3" s="1"/>
  <c r="P87" i="3"/>
  <c r="Q87" i="3" s="1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Q80" i="3" s="1"/>
  <c r="O79" i="3"/>
  <c r="Q79" i="3" s="1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Q72" i="3" s="1"/>
  <c r="P71" i="3"/>
  <c r="O71" i="3"/>
  <c r="P70" i="3"/>
  <c r="O70" i="3"/>
  <c r="P69" i="3"/>
  <c r="O69" i="3"/>
  <c r="P68" i="3"/>
  <c r="O68" i="3"/>
  <c r="P67" i="3"/>
  <c r="O67" i="3"/>
  <c r="P66" i="3"/>
  <c r="O66" i="3"/>
  <c r="O65" i="3"/>
  <c r="Q65" i="3" s="1"/>
  <c r="P64" i="3"/>
  <c r="O64" i="3"/>
  <c r="P63" i="3"/>
  <c r="O63" i="3"/>
  <c r="P62" i="3"/>
  <c r="Q62" i="3" s="1"/>
  <c r="P61" i="3"/>
  <c r="O61" i="3"/>
  <c r="O60" i="3"/>
  <c r="Q60" i="3" s="1"/>
  <c r="P59" i="3"/>
  <c r="O59" i="3"/>
  <c r="P58" i="3"/>
  <c r="O58" i="3"/>
  <c r="Q57" i="3"/>
  <c r="P56" i="3"/>
  <c r="O56" i="3"/>
  <c r="P55" i="3"/>
  <c r="O55" i="3"/>
  <c r="P54" i="3"/>
  <c r="Q54" i="3" s="1"/>
  <c r="P53" i="3"/>
  <c r="O53" i="3"/>
  <c r="P52" i="3"/>
  <c r="O52" i="3"/>
  <c r="P51" i="3"/>
  <c r="O51" i="3"/>
  <c r="P50" i="3"/>
  <c r="O50" i="3"/>
  <c r="P49" i="3"/>
  <c r="O49" i="3"/>
  <c r="P48" i="3"/>
  <c r="O48" i="3"/>
  <c r="P47" i="3"/>
  <c r="O47" i="3"/>
  <c r="P46" i="3"/>
  <c r="O46" i="3"/>
  <c r="P45" i="3"/>
  <c r="O45" i="3"/>
  <c r="P44" i="3"/>
  <c r="O44" i="3"/>
  <c r="O43" i="3"/>
  <c r="Q43" i="3" s="1"/>
  <c r="O42" i="3"/>
  <c r="Q42" i="3" s="1"/>
  <c r="P41" i="3"/>
  <c r="O41" i="3"/>
  <c r="P40" i="3"/>
  <c r="O40" i="3"/>
  <c r="P39" i="3"/>
  <c r="Q39" i="3" s="1"/>
  <c r="P38" i="3"/>
  <c r="O38" i="3"/>
  <c r="P37" i="3"/>
  <c r="Q37" i="3" s="1"/>
  <c r="P36" i="3"/>
  <c r="O36" i="3"/>
  <c r="P35" i="3"/>
  <c r="Q35" i="3" s="1"/>
  <c r="P34" i="3"/>
  <c r="O34" i="3"/>
  <c r="P33" i="3"/>
  <c r="Q33" i="3" s="1"/>
  <c r="P32" i="3"/>
  <c r="Q32" i="3" s="1"/>
  <c r="Q31" i="3"/>
  <c r="P30" i="3"/>
  <c r="O30" i="3"/>
  <c r="Q29" i="3"/>
  <c r="P28" i="3"/>
  <c r="O28" i="3"/>
  <c r="P27" i="3"/>
  <c r="O27" i="3"/>
  <c r="P26" i="3"/>
  <c r="O26" i="3"/>
  <c r="P25" i="3"/>
  <c r="O25" i="3"/>
  <c r="P24" i="3"/>
  <c r="O24" i="3"/>
  <c r="Q23" i="3"/>
  <c r="P22" i="3"/>
  <c r="O22" i="3"/>
  <c r="Q21" i="3"/>
  <c r="P20" i="3"/>
  <c r="Q20" i="3" s="1"/>
  <c r="P19" i="3"/>
  <c r="O19" i="3"/>
  <c r="P18" i="3"/>
  <c r="Q18" i="3" s="1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Q7" i="3"/>
  <c r="P6" i="3"/>
  <c r="O6" i="3"/>
  <c r="P5" i="3"/>
  <c r="O5" i="3"/>
  <c r="P4" i="3"/>
  <c r="O4" i="3"/>
  <c r="P3" i="3"/>
  <c r="O3" i="3"/>
  <c r="P2" i="3"/>
  <c r="O2" i="3"/>
  <c r="O2" i="2"/>
  <c r="P2" i="2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P31" i="2"/>
  <c r="Q31" i="2" s="1"/>
  <c r="S31" i="2" s="1"/>
  <c r="O32" i="2"/>
  <c r="P32" i="2"/>
  <c r="O33" i="2"/>
  <c r="P33" i="2"/>
  <c r="O34" i="2"/>
  <c r="P34" i="2"/>
  <c r="O35" i="2"/>
  <c r="P35" i="2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Q44" i="2" s="1"/>
  <c r="S44" i="2" s="1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P51" i="2"/>
  <c r="O52" i="2"/>
  <c r="P52" i="2"/>
  <c r="O53" i="2"/>
  <c r="P53" i="2"/>
  <c r="O54" i="2"/>
  <c r="P54" i="2"/>
  <c r="O55" i="2"/>
  <c r="P55" i="2"/>
  <c r="O56" i="2"/>
  <c r="P56" i="2"/>
  <c r="O57" i="2"/>
  <c r="P57" i="2"/>
  <c r="O58" i="2"/>
  <c r="P58" i="2"/>
  <c r="O59" i="2"/>
  <c r="P59" i="2"/>
  <c r="O60" i="2"/>
  <c r="P60" i="2"/>
  <c r="O61" i="2"/>
  <c r="P61" i="2"/>
  <c r="O62" i="2"/>
  <c r="P62" i="2"/>
  <c r="O63" i="2"/>
  <c r="P63" i="2"/>
  <c r="O64" i="2"/>
  <c r="P64" i="2"/>
  <c r="O65" i="2"/>
  <c r="P65" i="2"/>
  <c r="O66" i="2"/>
  <c r="P66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O74" i="2"/>
  <c r="P74" i="2"/>
  <c r="O75" i="2"/>
  <c r="P75" i="2"/>
  <c r="O76" i="2"/>
  <c r="P76" i="2"/>
  <c r="O77" i="2"/>
  <c r="P77" i="2"/>
  <c r="O78" i="2"/>
  <c r="P78" i="2"/>
  <c r="O79" i="2"/>
  <c r="P79" i="2"/>
  <c r="O80" i="2"/>
  <c r="P80" i="2"/>
  <c r="O81" i="2"/>
  <c r="P81" i="2"/>
  <c r="O82" i="2"/>
  <c r="P82" i="2"/>
  <c r="O83" i="2"/>
  <c r="P83" i="2"/>
  <c r="P84" i="2"/>
  <c r="Q84" i="2" s="1"/>
  <c r="S84" i="2" s="1"/>
  <c r="O85" i="2"/>
  <c r="Q85" i="2" s="1"/>
  <c r="S85" i="2" s="1"/>
  <c r="O86" i="2"/>
  <c r="P86" i="2"/>
  <c r="O87" i="2"/>
  <c r="P87" i="2"/>
  <c r="O88" i="2"/>
  <c r="P88" i="2"/>
  <c r="O89" i="2"/>
  <c r="P89" i="2"/>
  <c r="O90" i="2"/>
  <c r="P90" i="2"/>
  <c r="O91" i="2"/>
  <c r="P91" i="2"/>
  <c r="O92" i="2"/>
  <c r="P92" i="2"/>
  <c r="O93" i="2"/>
  <c r="P93" i="2"/>
  <c r="O94" i="2"/>
  <c r="P94" i="2"/>
  <c r="O95" i="2"/>
  <c r="P95" i="2"/>
  <c r="O96" i="2"/>
  <c r="P96" i="2"/>
  <c r="O97" i="2"/>
  <c r="P97" i="2"/>
  <c r="O98" i="2"/>
  <c r="P98" i="2"/>
  <c r="O99" i="2"/>
  <c r="P99" i="2"/>
  <c r="O100" i="2"/>
  <c r="P100" i="2"/>
  <c r="O101" i="2"/>
  <c r="P101" i="2"/>
  <c r="O102" i="2"/>
  <c r="P102" i="2"/>
  <c r="O103" i="2"/>
  <c r="P103" i="2"/>
  <c r="O104" i="2"/>
  <c r="P104" i="2"/>
  <c r="O105" i="2"/>
  <c r="P105" i="2"/>
  <c r="O106" i="2"/>
  <c r="P106" i="2"/>
  <c r="O107" i="2"/>
  <c r="P107" i="2"/>
  <c r="O108" i="2"/>
  <c r="P108" i="2"/>
  <c r="O109" i="2"/>
  <c r="P109" i="2"/>
  <c r="O110" i="2"/>
  <c r="P110" i="2"/>
  <c r="O111" i="2"/>
  <c r="P111" i="2"/>
  <c r="O112" i="2"/>
  <c r="P112" i="2"/>
  <c r="O113" i="2"/>
  <c r="P113" i="2"/>
  <c r="O114" i="2"/>
  <c r="P114" i="2"/>
  <c r="O115" i="2"/>
  <c r="P115" i="2"/>
  <c r="O116" i="2"/>
  <c r="P116" i="2"/>
  <c r="O117" i="2"/>
  <c r="P117" i="2"/>
  <c r="O118" i="2"/>
  <c r="P118" i="2"/>
  <c r="O119" i="2"/>
  <c r="P119" i="2"/>
  <c r="O120" i="2"/>
  <c r="P120" i="2"/>
  <c r="O121" i="2"/>
  <c r="P121" i="2"/>
  <c r="O122" i="2"/>
  <c r="P122" i="2"/>
  <c r="O123" i="2"/>
  <c r="P123" i="2"/>
  <c r="O124" i="2"/>
  <c r="P124" i="2"/>
  <c r="O125" i="2"/>
  <c r="P125" i="2"/>
  <c r="O126" i="2"/>
  <c r="P126" i="2"/>
  <c r="O127" i="2"/>
  <c r="Q127" i="2" s="1"/>
  <c r="S127" i="2" s="1"/>
  <c r="Q128" i="2"/>
  <c r="S128" i="2" s="1"/>
  <c r="O129" i="2"/>
  <c r="P129" i="2"/>
  <c r="O130" i="2"/>
  <c r="P130" i="2"/>
  <c r="O131" i="2"/>
  <c r="P131" i="2"/>
  <c r="O132" i="2"/>
  <c r="P132" i="2"/>
  <c r="O133" i="2"/>
  <c r="P133" i="2"/>
  <c r="O134" i="2"/>
  <c r="P134" i="2"/>
  <c r="O135" i="2"/>
  <c r="P135" i="2"/>
  <c r="O136" i="2"/>
  <c r="P136" i="2"/>
  <c r="O137" i="2"/>
  <c r="P137" i="2"/>
  <c r="O138" i="2"/>
  <c r="P138" i="2"/>
  <c r="O139" i="2"/>
  <c r="P139" i="2"/>
  <c r="O140" i="2"/>
  <c r="P140" i="2"/>
  <c r="O141" i="2"/>
  <c r="P141" i="2"/>
  <c r="P142" i="2"/>
  <c r="Q142" i="2" s="1"/>
  <c r="S142" i="2" s="1"/>
  <c r="O143" i="2"/>
  <c r="Q143" i="2" s="1"/>
  <c r="S143" i="2" s="1"/>
  <c r="O144" i="2"/>
  <c r="P144" i="2"/>
  <c r="P145" i="2"/>
  <c r="Q145" i="2" s="1"/>
  <c r="S145" i="2" s="1"/>
  <c r="O146" i="2"/>
  <c r="P146" i="2"/>
  <c r="O147" i="2"/>
  <c r="P147" i="2"/>
  <c r="P148" i="2"/>
  <c r="Q148" i="2" s="1"/>
  <c r="S148" i="2" s="1"/>
  <c r="O149" i="2"/>
  <c r="P149" i="2"/>
  <c r="O150" i="2"/>
  <c r="P150" i="2"/>
  <c r="O151" i="2"/>
  <c r="P151" i="2"/>
  <c r="O152" i="2"/>
  <c r="P152" i="2"/>
  <c r="O153" i="2"/>
  <c r="P153" i="2"/>
  <c r="P154" i="2"/>
  <c r="O155" i="2"/>
  <c r="P155" i="2"/>
  <c r="O156" i="2"/>
  <c r="P156" i="2"/>
  <c r="O157" i="2"/>
  <c r="P157" i="2"/>
  <c r="O158" i="2"/>
  <c r="P158" i="2"/>
  <c r="O159" i="2"/>
  <c r="P159" i="2"/>
  <c r="O160" i="2"/>
  <c r="P160" i="2"/>
  <c r="O161" i="2"/>
  <c r="P161" i="2"/>
  <c r="O162" i="2"/>
  <c r="P162" i="2"/>
  <c r="O163" i="2"/>
  <c r="P163" i="2"/>
  <c r="K164" i="2"/>
  <c r="O164" i="2"/>
  <c r="P164" i="2"/>
  <c r="K165" i="2"/>
  <c r="O165" i="2"/>
  <c r="P165" i="2"/>
  <c r="K166" i="2"/>
  <c r="O166" i="2"/>
  <c r="P166" i="2"/>
  <c r="K167" i="2"/>
  <c r="O167" i="2"/>
  <c r="P167" i="2"/>
  <c r="K168" i="2"/>
  <c r="O168" i="2"/>
  <c r="P168" i="2"/>
  <c r="K169" i="2"/>
  <c r="O169" i="2"/>
  <c r="P169" i="2"/>
  <c r="K170" i="2"/>
  <c r="O170" i="2"/>
  <c r="P170" i="2"/>
  <c r="K171" i="2"/>
  <c r="O171" i="2"/>
  <c r="P171" i="2"/>
  <c r="K172" i="2"/>
  <c r="O172" i="2"/>
  <c r="P172" i="2"/>
  <c r="K173" i="2"/>
  <c r="O173" i="2"/>
  <c r="P173" i="2"/>
  <c r="K174" i="2"/>
  <c r="O174" i="2"/>
  <c r="P174" i="2"/>
  <c r="K175" i="2"/>
  <c r="O175" i="2"/>
  <c r="P175" i="2"/>
  <c r="K176" i="2"/>
  <c r="O176" i="2"/>
  <c r="P176" i="2"/>
  <c r="P82" i="1"/>
  <c r="Q82" i="1" s="1"/>
  <c r="K82" i="1"/>
  <c r="Q81" i="1"/>
  <c r="S81" i="1" s="1"/>
  <c r="K81" i="1"/>
  <c r="P80" i="1"/>
  <c r="O80" i="1"/>
  <c r="K80" i="1"/>
  <c r="P79" i="1"/>
  <c r="O79" i="1"/>
  <c r="K79" i="1"/>
  <c r="Q78" i="1"/>
  <c r="S78" i="1" s="1"/>
  <c r="K78" i="1"/>
  <c r="P77" i="1"/>
  <c r="O77" i="1"/>
  <c r="K77" i="1"/>
  <c r="P76" i="1"/>
  <c r="O76" i="1"/>
  <c r="O75" i="1"/>
  <c r="Q75" i="1" s="1"/>
  <c r="S75" i="1" s="1"/>
  <c r="P74" i="1"/>
  <c r="Q74" i="1" s="1"/>
  <c r="P73" i="1"/>
  <c r="O73" i="1"/>
  <c r="P72" i="1"/>
  <c r="O72" i="1"/>
  <c r="P71" i="1"/>
  <c r="O71" i="1"/>
  <c r="P70" i="1"/>
  <c r="Q70" i="1" s="1"/>
  <c r="S70" i="1" s="1"/>
  <c r="P69" i="1"/>
  <c r="O69" i="1"/>
  <c r="O68" i="1"/>
  <c r="Q68" i="1" s="1"/>
  <c r="S68" i="1" s="1"/>
  <c r="Q67" i="1"/>
  <c r="S67" i="1" s="1"/>
  <c r="P66" i="1"/>
  <c r="O66" i="1"/>
  <c r="P65" i="1"/>
  <c r="O65" i="1"/>
  <c r="P64" i="1"/>
  <c r="Q64" i="1" s="1"/>
  <c r="S64" i="1" s="1"/>
  <c r="P63" i="1"/>
  <c r="O63" i="1"/>
  <c r="P62" i="1"/>
  <c r="O62" i="1"/>
  <c r="P61" i="1"/>
  <c r="O61" i="1"/>
  <c r="P60" i="1"/>
  <c r="O60" i="1"/>
  <c r="P59" i="1"/>
  <c r="O59" i="1"/>
  <c r="O58" i="1"/>
  <c r="Q58" i="1" s="1"/>
  <c r="P57" i="1"/>
  <c r="O57" i="1"/>
  <c r="P56" i="1"/>
  <c r="O56" i="1"/>
  <c r="P55" i="1"/>
  <c r="O55" i="1"/>
  <c r="P54" i="1"/>
  <c r="O54" i="1"/>
  <c r="P53" i="1"/>
  <c r="O53" i="1"/>
  <c r="P52" i="1"/>
  <c r="Q52" i="1" s="1"/>
  <c r="S52" i="1" s="1"/>
  <c r="P51" i="1"/>
  <c r="O51" i="1"/>
  <c r="P50" i="1"/>
  <c r="O50" i="1"/>
  <c r="P49" i="1"/>
  <c r="O49" i="1"/>
  <c r="P48" i="1"/>
  <c r="O48" i="1"/>
  <c r="P47" i="1"/>
  <c r="O47" i="1"/>
  <c r="P46" i="1"/>
  <c r="Q46" i="1" s="1"/>
  <c r="S46" i="1" s="1"/>
  <c r="P45" i="1"/>
  <c r="O45" i="1"/>
  <c r="P44" i="1"/>
  <c r="Q44" i="1" s="1"/>
  <c r="S44" i="1" s="1"/>
  <c r="P43" i="1"/>
  <c r="O43" i="1"/>
  <c r="P42" i="1"/>
  <c r="Q42" i="1" s="1"/>
  <c r="P41" i="1"/>
  <c r="O41" i="1"/>
  <c r="P40" i="1"/>
  <c r="O40" i="1"/>
  <c r="Q39" i="1"/>
  <c r="S39" i="1" s="1"/>
  <c r="P38" i="1"/>
  <c r="Q38" i="1" s="1"/>
  <c r="S38" i="1" s="1"/>
  <c r="P37" i="1"/>
  <c r="O37" i="1"/>
  <c r="P36" i="1"/>
  <c r="O36" i="1"/>
  <c r="P35" i="1"/>
  <c r="O35" i="1"/>
  <c r="P34" i="1"/>
  <c r="O34" i="1"/>
  <c r="P33" i="1"/>
  <c r="O33" i="1"/>
  <c r="P32" i="1"/>
  <c r="Q32" i="1" s="1"/>
  <c r="S32" i="1" s="1"/>
  <c r="P31" i="1"/>
  <c r="Q31" i="1" s="1"/>
  <c r="S31" i="1" s="1"/>
  <c r="P30" i="1"/>
  <c r="O30" i="1"/>
  <c r="P29" i="1"/>
  <c r="O29" i="1"/>
  <c r="P28" i="1"/>
  <c r="O28" i="1"/>
  <c r="P27" i="1"/>
  <c r="O27" i="1"/>
  <c r="Q26" i="1"/>
  <c r="S26" i="1" s="1"/>
  <c r="P25" i="1"/>
  <c r="O25" i="1"/>
  <c r="P24" i="1"/>
  <c r="O24" i="1"/>
  <c r="P23" i="1"/>
  <c r="O23" i="1"/>
  <c r="P22" i="1"/>
  <c r="Q22" i="1" s="1"/>
  <c r="S22" i="1" s="1"/>
  <c r="P21" i="1"/>
  <c r="O21" i="1"/>
  <c r="P20" i="1"/>
  <c r="Q20" i="1" s="1"/>
  <c r="S20" i="1" s="1"/>
  <c r="P19" i="1"/>
  <c r="O19" i="1"/>
  <c r="P18" i="1"/>
  <c r="O18" i="1"/>
  <c r="P17" i="1"/>
  <c r="O17" i="1"/>
  <c r="P16" i="1"/>
  <c r="Q16" i="1" s="1"/>
  <c r="S16" i="1" s="1"/>
  <c r="P15" i="1"/>
  <c r="Q15" i="1" s="1"/>
  <c r="S15" i="1" s="1"/>
  <c r="P14" i="1"/>
  <c r="O14" i="1"/>
  <c r="P13" i="1"/>
  <c r="O13" i="1"/>
  <c r="Q12" i="1"/>
  <c r="S12" i="1" s="1"/>
  <c r="P11" i="1"/>
  <c r="O11" i="1"/>
  <c r="P10" i="1"/>
  <c r="O10" i="1"/>
  <c r="P9" i="1"/>
  <c r="O9" i="1"/>
  <c r="P8" i="1"/>
  <c r="O8" i="1"/>
  <c r="P7" i="1"/>
  <c r="O7" i="1"/>
  <c r="P6" i="1"/>
  <c r="O6" i="1"/>
  <c r="Q5" i="1"/>
  <c r="S5" i="1" s="1"/>
  <c r="O4" i="1"/>
  <c r="Q4" i="1" s="1"/>
  <c r="S4" i="1" s="1"/>
  <c r="Q146" i="2" l="1"/>
  <c r="S146" i="2" s="1"/>
  <c r="Q178" i="2"/>
  <c r="S178" i="2" s="1"/>
  <c r="Q2" i="1"/>
  <c r="Q141" i="2"/>
  <c r="S141" i="2" s="1"/>
  <c r="Q138" i="2"/>
  <c r="S138" i="2" s="1"/>
  <c r="Q130" i="2"/>
  <c r="S130" i="2" s="1"/>
  <c r="Q23" i="2"/>
  <c r="S23" i="2" s="1"/>
  <c r="Q162" i="2"/>
  <c r="S162" i="2" s="1"/>
  <c r="Q54" i="2"/>
  <c r="S54" i="2" s="1"/>
  <c r="Q38" i="2"/>
  <c r="S38" i="2" s="1"/>
  <c r="Q3" i="1"/>
  <c r="S3" i="1" s="1"/>
  <c r="Q156" i="3"/>
  <c r="Q161" i="2"/>
  <c r="S161" i="2" s="1"/>
  <c r="Q158" i="2"/>
  <c r="S158" i="2" s="1"/>
  <c r="Q154" i="2"/>
  <c r="S154" i="2" s="1"/>
  <c r="Q33" i="2"/>
  <c r="S33" i="2" s="1"/>
  <c r="Q3" i="3"/>
  <c r="Q113" i="2"/>
  <c r="S113" i="2" s="1"/>
  <c r="Q101" i="2"/>
  <c r="S101" i="2" s="1"/>
  <c r="Q4" i="2"/>
  <c r="S4" i="2" s="1"/>
  <c r="Q22" i="2"/>
  <c r="S22" i="2" s="1"/>
  <c r="Q3" i="2"/>
  <c r="S3" i="2" s="1"/>
  <c r="Q45" i="3"/>
  <c r="Q49" i="3"/>
  <c r="Q177" i="2"/>
  <c r="S177" i="2" s="1"/>
  <c r="Q173" i="2"/>
  <c r="S173" i="2" s="1"/>
  <c r="Q165" i="2"/>
  <c r="S165" i="2" s="1"/>
  <c r="Q2" i="2"/>
  <c r="S2" i="2" s="1"/>
  <c r="Q149" i="2"/>
  <c r="S149" i="2" s="1"/>
  <c r="Q96" i="2"/>
  <c r="S96" i="2" s="1"/>
  <c r="Q83" i="2"/>
  <c r="S83" i="2" s="1"/>
  <c r="Q67" i="2"/>
  <c r="S67" i="2" s="1"/>
  <c r="Q43" i="2"/>
  <c r="S43" i="2" s="1"/>
  <c r="Q39" i="2"/>
  <c r="S39" i="2" s="1"/>
  <c r="Q95" i="2"/>
  <c r="S95" i="2" s="1"/>
  <c r="Q82" i="2"/>
  <c r="S82" i="2" s="1"/>
  <c r="Q78" i="2"/>
  <c r="S78" i="2" s="1"/>
  <c r="Q66" i="2"/>
  <c r="S66" i="2" s="1"/>
  <c r="Q62" i="2"/>
  <c r="S62" i="2" s="1"/>
  <c r="Q47" i="2"/>
  <c r="S47" i="2" s="1"/>
  <c r="Q34" i="2"/>
  <c r="S34" i="2" s="1"/>
  <c r="Q46" i="2"/>
  <c r="S46" i="2" s="1"/>
  <c r="Q68" i="2"/>
  <c r="S68" i="2" s="1"/>
  <c r="Q64" i="2"/>
  <c r="S64" i="2" s="1"/>
  <c r="Q60" i="2"/>
  <c r="S60" i="2" s="1"/>
  <c r="Q49" i="2"/>
  <c r="S49" i="2" s="1"/>
  <c r="Q126" i="2"/>
  <c r="S126" i="2" s="1"/>
  <c r="Q114" i="2"/>
  <c r="S114" i="2" s="1"/>
  <c r="Q110" i="2"/>
  <c r="S110" i="2" s="1"/>
  <c r="Q98" i="2"/>
  <c r="S98" i="2" s="1"/>
  <c r="Q94" i="2"/>
  <c r="S94" i="2" s="1"/>
  <c r="Q90" i="2"/>
  <c r="S90" i="2" s="1"/>
  <c r="Q81" i="2"/>
  <c r="S81" i="2" s="1"/>
  <c r="Q69" i="2"/>
  <c r="S69" i="2" s="1"/>
  <c r="Q35" i="2"/>
  <c r="S35" i="2" s="1"/>
  <c r="Q13" i="2"/>
  <c r="S13" i="2" s="1"/>
  <c r="Q115" i="2"/>
  <c r="S115" i="2" s="1"/>
  <c r="Q160" i="2"/>
  <c r="S160" i="2" s="1"/>
  <c r="Q156" i="2"/>
  <c r="S156" i="2" s="1"/>
  <c r="Q150" i="2"/>
  <c r="S150" i="2" s="1"/>
  <c r="Q125" i="2"/>
  <c r="S125" i="2" s="1"/>
  <c r="Q121" i="2"/>
  <c r="S121" i="2" s="1"/>
  <c r="Q97" i="2"/>
  <c r="S97" i="2" s="1"/>
  <c r="Q93" i="2"/>
  <c r="S93" i="2" s="1"/>
  <c r="Q89" i="2"/>
  <c r="S89" i="2" s="1"/>
  <c r="Q80" i="2"/>
  <c r="S80" i="2" s="1"/>
  <c r="Q76" i="2"/>
  <c r="S76" i="2" s="1"/>
  <c r="Q50" i="2"/>
  <c r="S50" i="2" s="1"/>
  <c r="Q99" i="2"/>
  <c r="S99" i="2" s="1"/>
  <c r="Q155" i="2"/>
  <c r="S155" i="2" s="1"/>
  <c r="Q129" i="2"/>
  <c r="S129" i="2" s="1"/>
  <c r="Q120" i="2"/>
  <c r="S120" i="2" s="1"/>
  <c r="Q104" i="2"/>
  <c r="S104" i="2" s="1"/>
  <c r="Q139" i="2"/>
  <c r="S139" i="2" s="1"/>
  <c r="Q132" i="2"/>
  <c r="S132" i="2" s="1"/>
  <c r="Q32" i="2"/>
  <c r="S32" i="2" s="1"/>
  <c r="Q25" i="2"/>
  <c r="S25" i="2" s="1"/>
  <c r="Q21" i="2"/>
  <c r="S21" i="2" s="1"/>
  <c r="Q17" i="2"/>
  <c r="S17" i="2" s="1"/>
  <c r="Q14" i="2"/>
  <c r="S14" i="2" s="1"/>
  <c r="Q10" i="2"/>
  <c r="S10" i="2" s="1"/>
  <c r="Q6" i="2"/>
  <c r="S6" i="2" s="1"/>
  <c r="Q175" i="2"/>
  <c r="S175" i="2" s="1"/>
  <c r="Q167" i="2"/>
  <c r="S167" i="2" s="1"/>
  <c r="Q159" i="2"/>
  <c r="S159" i="2" s="1"/>
  <c r="Q137" i="2"/>
  <c r="S137" i="2" s="1"/>
  <c r="Q117" i="2"/>
  <c r="S117" i="2" s="1"/>
  <c r="Q109" i="2"/>
  <c r="S109" i="2" s="1"/>
  <c r="Q105" i="2"/>
  <c r="S105" i="2" s="1"/>
  <c r="Q86" i="2"/>
  <c r="S86" i="2" s="1"/>
  <c r="Q65" i="2"/>
  <c r="S65" i="2" s="1"/>
  <c r="Q29" i="2"/>
  <c r="S29" i="2" s="1"/>
  <c r="Q72" i="2"/>
  <c r="S72" i="2" s="1"/>
  <c r="Q174" i="2"/>
  <c r="S174" i="2" s="1"/>
  <c r="Q166" i="2"/>
  <c r="S166" i="2" s="1"/>
  <c r="Q157" i="2"/>
  <c r="S157" i="2" s="1"/>
  <c r="Q153" i="2"/>
  <c r="S153" i="2" s="1"/>
  <c r="Q151" i="2"/>
  <c r="S151" i="2" s="1"/>
  <c r="Q147" i="2"/>
  <c r="S147" i="2" s="1"/>
  <c r="Q123" i="2"/>
  <c r="S123" i="2" s="1"/>
  <c r="Q112" i="2"/>
  <c r="S112" i="2" s="1"/>
  <c r="Q92" i="2"/>
  <c r="S92" i="2" s="1"/>
  <c r="Q79" i="2"/>
  <c r="S79" i="2" s="1"/>
  <c r="Q75" i="2"/>
  <c r="S75" i="2" s="1"/>
  <c r="Q56" i="2"/>
  <c r="S56" i="2" s="1"/>
  <c r="Q45" i="2"/>
  <c r="S45" i="2" s="1"/>
  <c r="Q41" i="2"/>
  <c r="S41" i="2" s="1"/>
  <c r="Q24" i="2"/>
  <c r="S24" i="2" s="1"/>
  <c r="Q20" i="2"/>
  <c r="S20" i="2" s="1"/>
  <c r="Q16" i="2"/>
  <c r="S16" i="2" s="1"/>
  <c r="Q9" i="2"/>
  <c r="S9" i="2" s="1"/>
  <c r="Q5" i="2"/>
  <c r="S5" i="2" s="1"/>
  <c r="Q171" i="2"/>
  <c r="S171" i="2" s="1"/>
  <c r="Q163" i="2"/>
  <c r="S163" i="2" s="1"/>
  <c r="Q131" i="2"/>
  <c r="S131" i="2" s="1"/>
  <c r="Q111" i="2"/>
  <c r="S111" i="2" s="1"/>
  <c r="Q107" i="2"/>
  <c r="S107" i="2" s="1"/>
  <c r="Q63" i="2"/>
  <c r="S63" i="2" s="1"/>
  <c r="Q59" i="2"/>
  <c r="S59" i="2" s="1"/>
  <c r="Q52" i="2"/>
  <c r="S52" i="2" s="1"/>
  <c r="Q70" i="2"/>
  <c r="S70" i="2" s="1"/>
  <c r="Q15" i="2"/>
  <c r="S15" i="2" s="1"/>
  <c r="Q8" i="2"/>
  <c r="S8" i="2" s="1"/>
  <c r="Q134" i="2"/>
  <c r="S134" i="2" s="1"/>
  <c r="Q9" i="3"/>
  <c r="Q17" i="3"/>
  <c r="Q30" i="3"/>
  <c r="Q38" i="3"/>
  <c r="Q48" i="3"/>
  <c r="Q176" i="2"/>
  <c r="S176" i="2" s="1"/>
  <c r="Q168" i="2"/>
  <c r="S168" i="2" s="1"/>
  <c r="Q53" i="2"/>
  <c r="S53" i="2" s="1"/>
  <c r="Q40" i="2"/>
  <c r="S40" i="2" s="1"/>
  <c r="Q37" i="2"/>
  <c r="S37" i="2" s="1"/>
  <c r="Q28" i="2"/>
  <c r="S28" i="2" s="1"/>
  <c r="Q18" i="2"/>
  <c r="S18" i="2" s="1"/>
  <c r="Q6" i="3"/>
  <c r="Q170" i="2"/>
  <c r="S170" i="2" s="1"/>
  <c r="Q152" i="2"/>
  <c r="S152" i="2" s="1"/>
  <c r="Q133" i="2"/>
  <c r="S133" i="2" s="1"/>
  <c r="Q116" i="2"/>
  <c r="S116" i="2" s="1"/>
  <c r="Q100" i="2"/>
  <c r="S100" i="2" s="1"/>
  <c r="Q71" i="2"/>
  <c r="S71" i="2" s="1"/>
  <c r="Q55" i="2"/>
  <c r="S55" i="2" s="1"/>
  <c r="Q36" i="2"/>
  <c r="S36" i="2" s="1"/>
  <c r="Q27" i="2"/>
  <c r="S27" i="2" s="1"/>
  <c r="Q12" i="2"/>
  <c r="S12" i="2" s="1"/>
  <c r="Q11" i="3"/>
  <c r="Q136" i="2"/>
  <c r="S136" i="2" s="1"/>
  <c r="Q122" i="2"/>
  <c r="S122" i="2" s="1"/>
  <c r="Q119" i="2"/>
  <c r="S119" i="2" s="1"/>
  <c r="Q106" i="2"/>
  <c r="S106" i="2" s="1"/>
  <c r="Q103" i="2"/>
  <c r="S103" i="2" s="1"/>
  <c r="Q91" i="2"/>
  <c r="S91" i="2" s="1"/>
  <c r="Q88" i="2"/>
  <c r="S88" i="2" s="1"/>
  <c r="Q77" i="2"/>
  <c r="S77" i="2" s="1"/>
  <c r="Q74" i="2"/>
  <c r="S74" i="2" s="1"/>
  <c r="Q61" i="2"/>
  <c r="S61" i="2" s="1"/>
  <c r="Q58" i="2"/>
  <c r="S58" i="2" s="1"/>
  <c r="Q42" i="2"/>
  <c r="S42" i="2" s="1"/>
  <c r="Q30" i="2"/>
  <c r="S30" i="2" s="1"/>
  <c r="Q172" i="2"/>
  <c r="S172" i="2" s="1"/>
  <c r="Q164" i="2"/>
  <c r="S164" i="2" s="1"/>
  <c r="Q26" i="2"/>
  <c r="S26" i="2" s="1"/>
  <c r="Q11" i="2"/>
  <c r="S11" i="2" s="1"/>
  <c r="Q169" i="2"/>
  <c r="S169" i="2" s="1"/>
  <c r="Q144" i="2"/>
  <c r="S144" i="2" s="1"/>
  <c r="Q135" i="2"/>
  <c r="S135" i="2" s="1"/>
  <c r="Q118" i="2"/>
  <c r="S118" i="2" s="1"/>
  <c r="Q102" i="2"/>
  <c r="S102" i="2" s="1"/>
  <c r="Q87" i="2"/>
  <c r="S87" i="2" s="1"/>
  <c r="Q73" i="2"/>
  <c r="S73" i="2" s="1"/>
  <c r="Q57" i="2"/>
  <c r="S57" i="2" s="1"/>
  <c r="Q51" i="2"/>
  <c r="S51" i="2" s="1"/>
  <c r="Q48" i="2"/>
  <c r="S48" i="2" s="1"/>
  <c r="Q56" i="3"/>
  <c r="Q98" i="3"/>
  <c r="Q118" i="3"/>
  <c r="Q140" i="2"/>
  <c r="S140" i="2" s="1"/>
  <c r="Q124" i="2"/>
  <c r="S124" i="2" s="1"/>
  <c r="Q108" i="2"/>
  <c r="S108" i="2" s="1"/>
  <c r="Q19" i="2"/>
  <c r="S19" i="2" s="1"/>
  <c r="Q7" i="2"/>
  <c r="S7" i="2" s="1"/>
  <c r="Q27" i="3"/>
  <c r="Q52" i="3"/>
  <c r="Q67" i="3"/>
  <c r="Q92" i="3"/>
  <c r="Q149" i="3"/>
  <c r="Q152" i="3"/>
  <c r="Q76" i="3"/>
  <c r="Q69" i="3"/>
  <c r="Q12" i="3"/>
  <c r="Q26" i="3"/>
  <c r="Q36" i="3"/>
  <c r="Q68" i="3"/>
  <c r="Q99" i="3"/>
  <c r="Q137" i="3"/>
  <c r="Q22" i="3"/>
  <c r="Q77" i="3"/>
  <c r="Q82" i="3"/>
  <c r="Q90" i="3"/>
  <c r="Q129" i="3"/>
  <c r="Q134" i="3"/>
  <c r="Q147" i="3"/>
  <c r="Q150" i="3"/>
  <c r="Q155" i="3"/>
  <c r="Q74" i="3"/>
  <c r="Q85" i="3"/>
  <c r="Q125" i="3"/>
  <c r="Q153" i="3"/>
  <c r="Q2" i="3"/>
  <c r="Q14" i="3"/>
  <c r="Q24" i="3"/>
  <c r="Q34" i="3"/>
  <c r="Q121" i="3"/>
  <c r="Q142" i="3"/>
  <c r="Q15" i="3"/>
  <c r="Q86" i="3"/>
  <c r="Q113" i="3"/>
  <c r="Q151" i="3"/>
  <c r="Q81" i="3"/>
  <c r="Q66" i="3"/>
  <c r="Q46" i="3"/>
  <c r="Q28" i="3"/>
  <c r="Q75" i="3"/>
  <c r="Q83" i="3"/>
  <c r="Q109" i="3"/>
  <c r="Q126" i="3"/>
  <c r="Q131" i="3"/>
  <c r="Q138" i="3"/>
  <c r="Q19" i="3"/>
  <c r="Q16" i="3"/>
  <c r="Q51" i="3"/>
  <c r="Q71" i="3"/>
  <c r="Q53" i="3"/>
  <c r="Q78" i="3"/>
  <c r="Q5" i="3"/>
  <c r="Q13" i="3"/>
  <c r="Q55" i="3"/>
  <c r="Q59" i="3"/>
  <c r="Q63" i="3"/>
  <c r="Q84" i="3"/>
  <c r="Q106" i="3"/>
  <c r="Q115" i="3"/>
  <c r="Q136" i="3"/>
  <c r="Q50" i="3"/>
  <c r="Q111" i="3"/>
  <c r="Q10" i="3"/>
  <c r="Q40" i="3"/>
  <c r="Q64" i="3"/>
  <c r="Q73" i="3"/>
  <c r="Q107" i="3"/>
  <c r="Q120" i="3"/>
  <c r="Q124" i="3"/>
  <c r="Q25" i="3"/>
  <c r="Q70" i="3"/>
  <c r="Q91" i="3"/>
  <c r="Q108" i="3"/>
  <c r="Q116" i="3"/>
  <c r="Q123" i="3"/>
  <c r="Q148" i="3"/>
  <c r="Q47" i="3"/>
  <c r="Q146" i="3"/>
  <c r="Q4" i="3"/>
  <c r="Q8" i="3"/>
  <c r="Q44" i="3"/>
  <c r="Q61" i="3"/>
  <c r="Q100" i="3"/>
  <c r="Q132" i="3"/>
  <c r="Q58" i="3"/>
  <c r="Q114" i="3"/>
  <c r="Q144" i="3"/>
  <c r="Q41" i="3"/>
  <c r="Q139" i="3"/>
  <c r="Q154" i="3"/>
  <c r="Q37" i="1"/>
  <c r="S37" i="1" s="1"/>
  <c r="Q30" i="1"/>
  <c r="S30" i="1" s="1"/>
  <c r="Q41" i="1"/>
  <c r="S41" i="1" s="1"/>
  <c r="Q59" i="1"/>
  <c r="S59" i="1" s="1"/>
  <c r="Q19" i="1"/>
  <c r="S19" i="1" s="1"/>
  <c r="Q49" i="1"/>
  <c r="S49" i="1" s="1"/>
  <c r="Q76" i="1"/>
  <c r="S76" i="1" s="1"/>
  <c r="Q73" i="1"/>
  <c r="S73" i="1" s="1"/>
  <c r="Q33" i="1"/>
  <c r="S33" i="1" s="1"/>
  <c r="Q9" i="1"/>
  <c r="S9" i="1" s="1"/>
  <c r="Q6" i="1"/>
  <c r="S6" i="1" s="1"/>
  <c r="Q24" i="1"/>
  <c r="S24" i="1" s="1"/>
  <c r="Q27" i="1"/>
  <c r="S27" i="1" s="1"/>
  <c r="Q60" i="1"/>
  <c r="S60" i="1" s="1"/>
  <c r="Q13" i="1"/>
  <c r="S13" i="1" s="1"/>
  <c r="Q77" i="1"/>
  <c r="S77" i="1" s="1"/>
  <c r="Q80" i="1"/>
  <c r="S80" i="1" s="1"/>
  <c r="Q28" i="1"/>
  <c r="S28" i="1" s="1"/>
  <c r="Q45" i="1"/>
  <c r="S45" i="1" s="1"/>
  <c r="Q47" i="1"/>
  <c r="S47" i="1" s="1"/>
  <c r="Q55" i="1"/>
  <c r="S55" i="1" s="1"/>
  <c r="Q65" i="1"/>
  <c r="S65" i="1" s="1"/>
  <c r="Q48" i="1"/>
  <c r="S48" i="1" s="1"/>
  <c r="Q51" i="1"/>
  <c r="S51" i="1" s="1"/>
  <c r="Q57" i="1"/>
  <c r="S57" i="1" s="1"/>
  <c r="Q61" i="1"/>
  <c r="S61" i="1" s="1"/>
  <c r="Q71" i="1"/>
  <c r="S71" i="1" s="1"/>
  <c r="Q25" i="1"/>
  <c r="S25" i="1" s="1"/>
  <c r="Q54" i="1"/>
  <c r="S54" i="1" s="1"/>
  <c r="Q62" i="1"/>
  <c r="S62" i="1" s="1"/>
  <c r="Q11" i="1"/>
  <c r="S11" i="1" s="1"/>
  <c r="Q50" i="1"/>
  <c r="S50" i="1" s="1"/>
  <c r="Q23" i="1"/>
  <c r="S23" i="1" s="1"/>
  <c r="Q43" i="1"/>
  <c r="S43" i="1" s="1"/>
  <c r="Q53" i="1"/>
  <c r="S53" i="1" s="1"/>
  <c r="Q66" i="1"/>
  <c r="S66" i="1" s="1"/>
  <c r="Q79" i="1"/>
  <c r="S79" i="1" s="1"/>
  <c r="Q17" i="1"/>
  <c r="S17" i="1" s="1"/>
  <c r="Q21" i="1"/>
  <c r="S21" i="1" s="1"/>
  <c r="Q18" i="1"/>
  <c r="S18" i="1" s="1"/>
  <c r="Q35" i="1"/>
  <c r="S35" i="1" s="1"/>
  <c r="Q40" i="1"/>
  <c r="S40" i="1" s="1"/>
  <c r="Q56" i="1"/>
  <c r="S56" i="1" s="1"/>
  <c r="Q69" i="1"/>
  <c r="S69" i="1" s="1"/>
  <c r="Q36" i="1"/>
  <c r="S36" i="1" s="1"/>
  <c r="Q14" i="1"/>
  <c r="S14" i="1" s="1"/>
  <c r="Q63" i="1"/>
  <c r="S63" i="1" s="1"/>
  <c r="Q8" i="1"/>
  <c r="S8" i="1" s="1"/>
  <c r="Q34" i="1"/>
  <c r="S34" i="1" s="1"/>
  <c r="Q7" i="1"/>
  <c r="S7" i="1" s="1"/>
  <c r="Q10" i="1"/>
  <c r="S10" i="1" s="1"/>
  <c r="Q29" i="1"/>
  <c r="S29" i="1" s="1"/>
  <c r="Q72" i="1"/>
  <c r="S72" i="1" s="1"/>
  <c r="S2" i="1" l="1"/>
  <c r="V8" i="1"/>
  <c r="W6" i="2"/>
  <c r="W9" i="2"/>
  <c r="V5" i="1" l="1"/>
  <c r="V4" i="1"/>
  <c r="V3" i="1"/>
  <c r="W4" i="2"/>
  <c r="W5" i="2"/>
</calcChain>
</file>

<file path=xl/sharedStrings.xml><?xml version="1.0" encoding="utf-8"?>
<sst xmlns="http://schemas.openxmlformats.org/spreadsheetml/2006/main" count="1485" uniqueCount="102">
  <si>
    <t>S.No</t>
  </si>
  <si>
    <t>MRD NO</t>
  </si>
  <si>
    <t xml:space="preserve">Age </t>
  </si>
  <si>
    <t>Sex</t>
  </si>
  <si>
    <t>First Visit</t>
  </si>
  <si>
    <t>Lasr Visit</t>
  </si>
  <si>
    <t>Type of Treatment</t>
  </si>
  <si>
    <t xml:space="preserve">Eye Treatment </t>
  </si>
  <si>
    <t>Surgery</t>
  </si>
  <si>
    <t>Injection</t>
  </si>
  <si>
    <t>Total Treatment</t>
  </si>
  <si>
    <t>Total Visit</t>
  </si>
  <si>
    <t>First VA</t>
  </si>
  <si>
    <t>Last VA</t>
  </si>
  <si>
    <t>First VAS</t>
  </si>
  <si>
    <t>Last VAS</t>
  </si>
  <si>
    <t>Change in VAS</t>
  </si>
  <si>
    <t>Female</t>
  </si>
  <si>
    <t>OD</t>
  </si>
  <si>
    <t>Male</t>
  </si>
  <si>
    <t>Surgery &amp; Injection</t>
  </si>
  <si>
    <t>PL PR accurate</t>
  </si>
  <si>
    <t>OS</t>
  </si>
  <si>
    <t>HM+</t>
  </si>
  <si>
    <t>PL PR inaccurate</t>
  </si>
  <si>
    <t>PLM1032226</t>
  </si>
  <si>
    <t>PLM303453</t>
  </si>
  <si>
    <t>PLM2408742</t>
  </si>
  <si>
    <t>PLM1033443</t>
  </si>
  <si>
    <t>CF at 50</t>
  </si>
  <si>
    <t>MTP5029</t>
  </si>
  <si>
    <t>CF CF</t>
  </si>
  <si>
    <t>PLM2406335</t>
  </si>
  <si>
    <t>RSP300222</t>
  </si>
  <si>
    <t>PLM2405984</t>
  </si>
  <si>
    <t>PLM280976</t>
  </si>
  <si>
    <t>PLM314467</t>
  </si>
  <si>
    <t>PLM326154</t>
  </si>
  <si>
    <t>PLM286417</t>
  </si>
  <si>
    <t>CFCF</t>
  </si>
  <si>
    <t>PLM383457</t>
  </si>
  <si>
    <t>PLM389628</t>
  </si>
  <si>
    <t>PLM374227</t>
  </si>
  <si>
    <t>SLM368541</t>
  </si>
  <si>
    <t>PLM377904</t>
  </si>
  <si>
    <t>PLM393749</t>
  </si>
  <si>
    <t>M</t>
  </si>
  <si>
    <t>F</t>
  </si>
  <si>
    <t>No PL</t>
  </si>
  <si>
    <t>18-112-25</t>
  </si>
  <si>
    <t>TRP7945</t>
  </si>
  <si>
    <t>PLM298966</t>
  </si>
  <si>
    <t>RSP312598</t>
  </si>
  <si>
    <t>RSP331584</t>
  </si>
  <si>
    <t>PLM321521</t>
  </si>
  <si>
    <t>PLPR inaccurate</t>
  </si>
  <si>
    <t>PLM376809</t>
  </si>
  <si>
    <t>PLM386856</t>
  </si>
  <si>
    <t>PLM331584</t>
  </si>
  <si>
    <t>PLM2408904</t>
  </si>
  <si>
    <t>PLM322541</t>
  </si>
  <si>
    <t>RSP338261</t>
  </si>
  <si>
    <t>MTP38085</t>
  </si>
  <si>
    <t>SEL31944</t>
  </si>
  <si>
    <t>PLM372216</t>
  </si>
  <si>
    <t>PLM343705</t>
  </si>
  <si>
    <t>PLM313545</t>
  </si>
  <si>
    <t>PLM396069</t>
  </si>
  <si>
    <t>SLM345752</t>
  </si>
  <si>
    <t>SLM360783</t>
  </si>
  <si>
    <t>SLM304946</t>
  </si>
  <si>
    <t>Negative</t>
  </si>
  <si>
    <t>Positive</t>
  </si>
  <si>
    <t>Average</t>
  </si>
  <si>
    <t>Totol</t>
  </si>
  <si>
    <t>patient mistake late dose</t>
  </si>
  <si>
    <t>cf at 3m, cf at 50, cfcf, hm+, cf at 1m (atropic macura) prp3</t>
  </si>
  <si>
    <t>patient not come for long day</t>
  </si>
  <si>
    <t>1 year gap</t>
  </si>
  <si>
    <t>result waiting</t>
  </si>
  <si>
    <t>patient late</t>
  </si>
  <si>
    <t>patient not coming</t>
  </si>
  <si>
    <t>10 month delay</t>
  </si>
  <si>
    <t>same day vision(inj)  10 month AS</t>
  </si>
  <si>
    <t>3,2,2 month delay</t>
  </si>
  <si>
    <t>4 month delay, dr AS, SX adv</t>
  </si>
  <si>
    <t>5 month delay</t>
  </si>
  <si>
    <t>4 month delay</t>
  </si>
  <si>
    <t>patient not come ,6 month</t>
  </si>
  <si>
    <t>patient not come, 6 month</t>
  </si>
  <si>
    <t>PATIENT NOT COME</t>
  </si>
  <si>
    <t>1 month not complte</t>
  </si>
  <si>
    <t>patient not come, 4 month</t>
  </si>
  <si>
    <t>patient not come 20 month not come</t>
  </si>
  <si>
    <t>patient not come, 7 month</t>
  </si>
  <si>
    <t>4 month delay,patient not come, 7 month</t>
  </si>
  <si>
    <t>patient not come long day, 1 year 1 m</t>
  </si>
  <si>
    <t>patient not come long day, 1 year 2 m</t>
  </si>
  <si>
    <t>11 month patient not come</t>
  </si>
  <si>
    <t>1 year 3 month patient not come</t>
  </si>
  <si>
    <t>first visit 6/18 p, surery after 6/24 p</t>
  </si>
  <si>
    <t xml:space="preserve">surgery delay 1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</si>
</sst>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1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2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u val="none"/>
        <color theme="1"/>
      </font>
      <fill>
        <patternFill>
          <bgColor theme="0"/>
        </pattern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ill>
        <patternFill patternType="solid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 patternType="solid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ont>
        <u val="none"/>
        <color theme="1"/>
      </font>
      <fill>
        <patternFill>
          <bgColor theme="0"/>
        </patternFill>
      </fill>
    </dxf>
    <dxf>
      <fill>
        <patternFill patternType="solid">
          <fgColor theme="1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1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ont>
        <color theme="1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ill>
        <patternFill patternType="solid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1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u val="none"/>
        <color theme="1"/>
      </font>
      <fill>
        <patternFill>
          <bgColor theme="0"/>
        </patternFill>
      </fill>
    </dxf>
    <dxf>
      <fill>
        <patternFill patternType="solid">
          <fgColor theme="1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 patternType="solid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u val="none"/>
        <color theme="1"/>
      </font>
      <fill>
        <patternFill>
          <bgColor theme="0"/>
        </patternFill>
      </fill>
    </dxf>
    <dxf>
      <fill>
        <patternFill patternType="solid">
          <fgColor theme="1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auto="1"/>
        </patternFill>
      </fill>
      <border>
        <vertical/>
        <horizontal/>
      </border>
    </dxf>
    <dxf>
      <fill>
        <patternFill patternType="solid">
          <fgColor theme="0"/>
          <bgColor auto="1"/>
        </patternFill>
      </fill>
      <border>
        <vertical/>
        <horizontal/>
      </border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  <dxf>
      <fill>
        <patternFill patternType="solid">
          <fgColor theme="0"/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auto="1"/>
        </patternFill>
      </fill>
      <border>
        <vertical/>
        <horizontal/>
      </border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auto="1"/>
        </patternFill>
      </fill>
      <border>
        <vertical/>
        <horizontal/>
      </border>
    </dxf>
    <dxf>
      <fill>
        <patternFill patternType="solid">
          <fgColor theme="0"/>
          <bgColor auto="1"/>
        </patternFill>
      </fill>
      <border>
        <vertical/>
        <horizontal/>
      </border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auto="1"/>
        </patternFill>
      </fill>
      <border>
        <vertical/>
        <horizontal/>
      </border>
    </dxf>
    <dxf>
      <fill>
        <patternFill patternType="solid">
          <fgColor theme="0"/>
          <bgColor auto="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u val="none"/>
        <color theme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1"/>
        </patternFill>
      </fill>
    </dxf>
    <dxf>
      <font>
        <u val="none"/>
        <color theme="1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6009-9057-4221-88EC-83C57E30149F}">
  <dimension ref="A1:V756"/>
  <sheetViews>
    <sheetView topLeftCell="C1" workbookViewId="0">
      <selection activeCell="R7" sqref="R7"/>
    </sheetView>
  </sheetViews>
  <sheetFormatPr defaultRowHeight="15" x14ac:dyDescent="0.25"/>
  <cols>
    <col min="1" max="1" width="5.42578125" style="3" bestFit="1" customWidth="1"/>
    <col min="2" max="2" width="12.5703125" style="3" customWidth="1"/>
    <col min="3" max="3" width="5.42578125" style="3" bestFit="1" customWidth="1"/>
    <col min="4" max="4" width="7.5703125" style="3" bestFit="1" customWidth="1"/>
    <col min="5" max="5" width="10.42578125" style="3" bestFit="1" customWidth="1"/>
    <col min="6" max="6" width="10.7109375" style="3" bestFit="1" customWidth="1"/>
    <col min="7" max="7" width="18.7109375" style="3" bestFit="1" customWidth="1"/>
    <col min="8" max="8" width="15.7109375" style="3" bestFit="1" customWidth="1"/>
    <col min="9" max="10" width="14.28515625" style="3" customWidth="1"/>
    <col min="11" max="11" width="16.42578125" style="3" bestFit="1" customWidth="1"/>
    <col min="12" max="12" width="14" style="3" bestFit="1" customWidth="1"/>
    <col min="13" max="13" width="14.85546875" style="3" bestFit="1" customWidth="1"/>
    <col min="14" max="14" width="15.42578125" style="3" bestFit="1" customWidth="1"/>
    <col min="15" max="15" width="10.140625" style="18" bestFit="1" customWidth="1"/>
    <col min="16" max="16" width="9.85546875" style="17" bestFit="1" customWidth="1"/>
    <col min="17" max="17" width="15.28515625" style="3" bestFit="1" customWidth="1"/>
    <col min="18" max="18" width="34.7109375" bestFit="1" customWidth="1"/>
    <col min="21" max="21" width="11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22" x14ac:dyDescent="0.25">
      <c r="A2" s="3">
        <v>1</v>
      </c>
      <c r="B2" s="4">
        <v>1043017</v>
      </c>
      <c r="C2" s="4">
        <v>50</v>
      </c>
      <c r="D2" s="4" t="s">
        <v>47</v>
      </c>
      <c r="E2" s="5">
        <v>45698</v>
      </c>
      <c r="F2" s="6">
        <v>46008</v>
      </c>
      <c r="G2" s="4" t="s">
        <v>20</v>
      </c>
      <c r="H2" s="3" t="s">
        <v>18</v>
      </c>
      <c r="I2" s="3">
        <v>1</v>
      </c>
      <c r="J2" s="3">
        <v>2</v>
      </c>
      <c r="K2" s="3">
        <v>3</v>
      </c>
      <c r="L2" s="3">
        <v>18</v>
      </c>
      <c r="M2" s="3">
        <v>24</v>
      </c>
      <c r="N2" s="3">
        <v>9</v>
      </c>
      <c r="O2" s="7">
        <f>85+50*LOG10(6/M2)</f>
        <v>54.897000433601882</v>
      </c>
      <c r="P2" s="8">
        <f>85+50*LOG10(6/N2)</f>
        <v>76.195437047215933</v>
      </c>
      <c r="Q2" s="8">
        <f t="shared" ref="Q2:Q33" si="0">P2-O2</f>
        <v>21.298436613614051</v>
      </c>
      <c r="S2">
        <f>COUNTIF(Q2,"&lt;0")</f>
        <v>0</v>
      </c>
    </row>
    <row r="3" spans="1:22" x14ac:dyDescent="0.25">
      <c r="A3" s="3">
        <v>2</v>
      </c>
      <c r="B3" s="4">
        <v>1024416</v>
      </c>
      <c r="C3" s="4">
        <v>49</v>
      </c>
      <c r="D3" s="4" t="s">
        <v>46</v>
      </c>
      <c r="E3" s="5">
        <v>45553</v>
      </c>
      <c r="F3" s="6">
        <v>45994</v>
      </c>
      <c r="G3" s="4" t="s">
        <v>20</v>
      </c>
      <c r="H3" s="3" t="s">
        <v>18</v>
      </c>
      <c r="I3" s="3">
        <v>1</v>
      </c>
      <c r="J3" s="3">
        <v>3</v>
      </c>
      <c r="K3" s="3">
        <v>4</v>
      </c>
      <c r="L3" s="3">
        <v>28</v>
      </c>
      <c r="M3" s="3">
        <v>180</v>
      </c>
      <c r="N3" s="3">
        <v>18</v>
      </c>
      <c r="O3" s="7">
        <f>85+50*LOG10(6/M3)</f>
        <v>11.143937264016884</v>
      </c>
      <c r="P3" s="8">
        <f>85+50*LOG10(6/N3)</f>
        <v>61.143937264016877</v>
      </c>
      <c r="Q3" s="8">
        <f t="shared" si="0"/>
        <v>49.999999999999993</v>
      </c>
      <c r="S3">
        <f t="shared" ref="S3:S66" si="1">COUNTIF(Q3,"&lt;0")</f>
        <v>0</v>
      </c>
      <c r="U3" s="19" t="s">
        <v>71</v>
      </c>
      <c r="V3" s="1">
        <f>COUNTIF(S:S,"1")</f>
        <v>11</v>
      </c>
    </row>
    <row r="4" spans="1:22" s="36" customFormat="1" x14ac:dyDescent="0.25">
      <c r="A4" s="29">
        <v>3</v>
      </c>
      <c r="B4" s="13">
        <v>164891</v>
      </c>
      <c r="C4" s="13">
        <v>32</v>
      </c>
      <c r="D4" s="13" t="s">
        <v>19</v>
      </c>
      <c r="E4" s="37">
        <v>45384</v>
      </c>
      <c r="F4" s="32">
        <v>45636</v>
      </c>
      <c r="G4" s="13" t="s">
        <v>20</v>
      </c>
      <c r="H4" s="29" t="s">
        <v>18</v>
      </c>
      <c r="I4" s="29">
        <v>2</v>
      </c>
      <c r="J4" s="29">
        <v>1</v>
      </c>
      <c r="K4" s="29">
        <v>3</v>
      </c>
      <c r="L4" s="29">
        <v>11</v>
      </c>
      <c r="M4" s="29">
        <v>180</v>
      </c>
      <c r="N4" s="29" t="s">
        <v>21</v>
      </c>
      <c r="O4" s="33">
        <f>85+50*LOG10(6/M4)</f>
        <v>11.143937264016884</v>
      </c>
      <c r="P4" s="35">
        <v>0</v>
      </c>
      <c r="Q4" s="35">
        <f t="shared" si="0"/>
        <v>-11.143937264016884</v>
      </c>
      <c r="S4" s="36">
        <f t="shared" si="1"/>
        <v>1</v>
      </c>
      <c r="U4" s="40" t="s">
        <v>72</v>
      </c>
      <c r="V4" s="41">
        <f>COUNTIF(S:S,"0")</f>
        <v>71</v>
      </c>
    </row>
    <row r="5" spans="1:22" x14ac:dyDescent="0.25">
      <c r="A5" s="3">
        <v>4</v>
      </c>
      <c r="B5" s="4">
        <v>3068244</v>
      </c>
      <c r="C5" s="4">
        <v>52</v>
      </c>
      <c r="D5" s="4" t="s">
        <v>17</v>
      </c>
      <c r="E5" s="5">
        <v>45386</v>
      </c>
      <c r="F5" s="6">
        <v>45588</v>
      </c>
      <c r="G5" s="4" t="s">
        <v>20</v>
      </c>
      <c r="H5" s="3" t="s">
        <v>22</v>
      </c>
      <c r="I5" s="3">
        <v>1</v>
      </c>
      <c r="J5" s="3">
        <v>1</v>
      </c>
      <c r="K5" s="3">
        <v>2</v>
      </c>
      <c r="L5" s="3">
        <v>10</v>
      </c>
      <c r="M5" s="3" t="s">
        <v>23</v>
      </c>
      <c r="N5" s="3" t="s">
        <v>24</v>
      </c>
      <c r="O5" s="7">
        <v>0</v>
      </c>
      <c r="P5" s="8">
        <v>0</v>
      </c>
      <c r="Q5" s="8">
        <f t="shared" si="0"/>
        <v>0</v>
      </c>
      <c r="S5">
        <f t="shared" si="1"/>
        <v>0</v>
      </c>
      <c r="U5" s="19" t="s">
        <v>74</v>
      </c>
      <c r="V5" s="1">
        <f>COUNT(S:S)</f>
        <v>82</v>
      </c>
    </row>
    <row r="6" spans="1:22" x14ac:dyDescent="0.25">
      <c r="A6" s="3">
        <v>5</v>
      </c>
      <c r="B6" s="4">
        <v>1032045</v>
      </c>
      <c r="C6" s="4">
        <v>52</v>
      </c>
      <c r="D6" s="4" t="s">
        <v>19</v>
      </c>
      <c r="E6" s="5">
        <v>45394</v>
      </c>
      <c r="F6" s="6">
        <v>45499</v>
      </c>
      <c r="G6" s="4" t="s">
        <v>20</v>
      </c>
      <c r="H6" s="3" t="s">
        <v>18</v>
      </c>
      <c r="I6" s="3">
        <v>1</v>
      </c>
      <c r="J6" s="3">
        <v>2</v>
      </c>
      <c r="K6" s="3">
        <v>3</v>
      </c>
      <c r="L6" s="3">
        <v>9</v>
      </c>
      <c r="M6" s="3">
        <v>180</v>
      </c>
      <c r="N6" s="3">
        <v>60</v>
      </c>
      <c r="O6" s="7">
        <f t="shared" ref="O6:P11" si="2">85+50*LOG10(6/M6)</f>
        <v>11.143937264016884</v>
      </c>
      <c r="P6" s="8">
        <f t="shared" si="2"/>
        <v>35</v>
      </c>
      <c r="Q6" s="8">
        <f t="shared" si="0"/>
        <v>23.856062735983116</v>
      </c>
      <c r="S6">
        <f t="shared" si="1"/>
        <v>0</v>
      </c>
      <c r="U6" s="21"/>
      <c r="V6" s="21"/>
    </row>
    <row r="7" spans="1:22" x14ac:dyDescent="0.25">
      <c r="A7" s="3">
        <v>6</v>
      </c>
      <c r="B7" s="4">
        <v>449949</v>
      </c>
      <c r="C7" s="4">
        <v>56</v>
      </c>
      <c r="D7" s="4" t="s">
        <v>19</v>
      </c>
      <c r="E7" s="5">
        <v>45409</v>
      </c>
      <c r="F7" s="6">
        <v>45793</v>
      </c>
      <c r="G7" s="4" t="s">
        <v>20</v>
      </c>
      <c r="H7" s="3" t="s">
        <v>22</v>
      </c>
      <c r="I7" s="3">
        <v>2</v>
      </c>
      <c r="J7" s="3">
        <v>1</v>
      </c>
      <c r="K7" s="3">
        <v>3</v>
      </c>
      <c r="L7" s="3">
        <v>12</v>
      </c>
      <c r="M7" s="3">
        <v>180</v>
      </c>
      <c r="N7" s="3">
        <v>9</v>
      </c>
      <c r="O7" s="7">
        <f t="shared" si="2"/>
        <v>11.143937264016884</v>
      </c>
      <c r="P7" s="8">
        <f t="shared" si="2"/>
        <v>76.195437047215933</v>
      </c>
      <c r="Q7" s="8">
        <f t="shared" si="0"/>
        <v>65.051499783199048</v>
      </c>
      <c r="S7">
        <f t="shared" si="1"/>
        <v>0</v>
      </c>
      <c r="U7" s="21"/>
      <c r="V7" s="21"/>
    </row>
    <row r="8" spans="1:22" x14ac:dyDescent="0.25">
      <c r="A8" s="3">
        <v>7</v>
      </c>
      <c r="B8" s="4">
        <v>229461</v>
      </c>
      <c r="C8" s="4">
        <v>67</v>
      </c>
      <c r="D8" s="4" t="s">
        <v>19</v>
      </c>
      <c r="E8" s="5">
        <v>45414</v>
      </c>
      <c r="F8" s="6">
        <v>45422</v>
      </c>
      <c r="G8" s="4" t="s">
        <v>20</v>
      </c>
      <c r="H8" s="3" t="s">
        <v>18</v>
      </c>
      <c r="I8" s="3">
        <v>1</v>
      </c>
      <c r="J8" s="3">
        <v>1</v>
      </c>
      <c r="K8" s="3">
        <v>2</v>
      </c>
      <c r="L8" s="3">
        <v>3</v>
      </c>
      <c r="M8" s="3">
        <v>60</v>
      </c>
      <c r="N8" s="3">
        <v>60</v>
      </c>
      <c r="O8" s="7">
        <f t="shared" si="2"/>
        <v>35</v>
      </c>
      <c r="P8" s="8">
        <f t="shared" si="2"/>
        <v>35</v>
      </c>
      <c r="Q8" s="8">
        <f t="shared" si="0"/>
        <v>0</v>
      </c>
      <c r="S8">
        <f t="shared" si="1"/>
        <v>0</v>
      </c>
      <c r="U8" s="19" t="s">
        <v>73</v>
      </c>
      <c r="V8" s="20">
        <f>AVERAGE(Q:Q)</f>
        <v>24.598410033132893</v>
      </c>
    </row>
    <row r="9" spans="1:22" x14ac:dyDescent="0.25">
      <c r="A9" s="3">
        <v>8</v>
      </c>
      <c r="B9" s="4">
        <v>1032191</v>
      </c>
      <c r="C9" s="4">
        <v>48</v>
      </c>
      <c r="D9" s="4" t="s">
        <v>19</v>
      </c>
      <c r="E9" s="5">
        <v>45450</v>
      </c>
      <c r="F9" s="6">
        <v>45640</v>
      </c>
      <c r="G9" s="4" t="s">
        <v>20</v>
      </c>
      <c r="H9" s="3" t="s">
        <v>18</v>
      </c>
      <c r="I9" s="3">
        <v>1</v>
      </c>
      <c r="J9" s="3">
        <v>1</v>
      </c>
      <c r="K9" s="3">
        <v>2</v>
      </c>
      <c r="L9" s="3">
        <v>18</v>
      </c>
      <c r="M9" s="3">
        <v>60</v>
      </c>
      <c r="N9" s="3">
        <v>180</v>
      </c>
      <c r="O9" s="7">
        <f t="shared" si="2"/>
        <v>35</v>
      </c>
      <c r="P9" s="8">
        <f t="shared" si="2"/>
        <v>11.143937264016884</v>
      </c>
      <c r="Q9" s="8">
        <f t="shared" si="0"/>
        <v>-23.856062735983116</v>
      </c>
      <c r="R9" t="s">
        <v>96</v>
      </c>
      <c r="S9">
        <f t="shared" si="1"/>
        <v>1</v>
      </c>
    </row>
    <row r="10" spans="1:22" x14ac:dyDescent="0.25">
      <c r="A10" s="3">
        <v>9</v>
      </c>
      <c r="B10" s="4">
        <v>1034511</v>
      </c>
      <c r="C10" s="4">
        <v>71</v>
      </c>
      <c r="D10" s="4" t="s">
        <v>19</v>
      </c>
      <c r="E10" s="5">
        <v>45457</v>
      </c>
      <c r="F10" s="6">
        <v>45562</v>
      </c>
      <c r="G10" s="4" t="s">
        <v>20</v>
      </c>
      <c r="H10" s="3" t="s">
        <v>18</v>
      </c>
      <c r="I10" s="3">
        <v>1</v>
      </c>
      <c r="J10" s="3">
        <v>2</v>
      </c>
      <c r="K10" s="3">
        <v>3</v>
      </c>
      <c r="L10" s="3">
        <v>13</v>
      </c>
      <c r="M10" s="3">
        <v>18</v>
      </c>
      <c r="N10" s="3">
        <v>36</v>
      </c>
      <c r="O10" s="7">
        <f t="shared" si="2"/>
        <v>61.143937264016877</v>
      </c>
      <c r="P10" s="8">
        <f t="shared" si="2"/>
        <v>46.092437480817821</v>
      </c>
      <c r="Q10" s="8">
        <f t="shared" si="0"/>
        <v>-15.051499783199056</v>
      </c>
      <c r="R10" t="s">
        <v>97</v>
      </c>
      <c r="S10">
        <f t="shared" si="1"/>
        <v>1</v>
      </c>
    </row>
    <row r="11" spans="1:22" x14ac:dyDescent="0.25">
      <c r="A11" s="3">
        <v>10</v>
      </c>
      <c r="B11" s="4">
        <v>1034421</v>
      </c>
      <c r="C11" s="4">
        <v>64</v>
      </c>
      <c r="D11" s="4" t="s">
        <v>17</v>
      </c>
      <c r="E11" s="5">
        <v>45475</v>
      </c>
      <c r="F11" s="6">
        <v>45563</v>
      </c>
      <c r="G11" s="4" t="s">
        <v>20</v>
      </c>
      <c r="H11" s="3" t="s">
        <v>18</v>
      </c>
      <c r="I11" s="3">
        <v>1</v>
      </c>
      <c r="J11" s="3">
        <v>3</v>
      </c>
      <c r="K11" s="3">
        <v>4</v>
      </c>
      <c r="L11" s="3">
        <v>17</v>
      </c>
      <c r="M11" s="3">
        <v>300</v>
      </c>
      <c r="N11" s="3">
        <v>12</v>
      </c>
      <c r="O11" s="7">
        <f t="shared" si="2"/>
        <v>5.1499783199062676E-2</v>
      </c>
      <c r="P11" s="8">
        <f t="shared" si="2"/>
        <v>69.948500216800937</v>
      </c>
      <c r="Q11" s="8">
        <f t="shared" si="0"/>
        <v>69.897000433601875</v>
      </c>
      <c r="S11">
        <f t="shared" si="1"/>
        <v>0</v>
      </c>
    </row>
    <row r="12" spans="1:22" x14ac:dyDescent="0.25">
      <c r="A12" s="3">
        <v>11</v>
      </c>
      <c r="B12" s="4">
        <v>1035216</v>
      </c>
      <c r="C12" s="4">
        <v>60</v>
      </c>
      <c r="D12" s="4" t="s">
        <v>19</v>
      </c>
      <c r="E12" s="5">
        <v>45476</v>
      </c>
      <c r="F12" s="6">
        <v>45575</v>
      </c>
      <c r="G12" s="4" t="s">
        <v>20</v>
      </c>
      <c r="H12" s="3" t="s">
        <v>22</v>
      </c>
      <c r="I12" s="3">
        <v>1</v>
      </c>
      <c r="J12" s="3">
        <v>1</v>
      </c>
      <c r="K12" s="3">
        <v>2</v>
      </c>
      <c r="L12" s="3">
        <v>8</v>
      </c>
      <c r="M12" s="3" t="s">
        <v>31</v>
      </c>
      <c r="N12" s="3" t="s">
        <v>31</v>
      </c>
      <c r="O12" s="7">
        <v>0</v>
      </c>
      <c r="P12" s="8">
        <v>0</v>
      </c>
      <c r="Q12" s="8">
        <f t="shared" si="0"/>
        <v>0</v>
      </c>
      <c r="S12">
        <f t="shared" si="1"/>
        <v>0</v>
      </c>
    </row>
    <row r="13" spans="1:22" x14ac:dyDescent="0.25">
      <c r="A13" s="3">
        <v>12</v>
      </c>
      <c r="B13" s="4">
        <v>1035603</v>
      </c>
      <c r="C13" s="4">
        <v>65</v>
      </c>
      <c r="D13" s="4" t="s">
        <v>19</v>
      </c>
      <c r="E13" s="5">
        <v>45485</v>
      </c>
      <c r="F13" s="6">
        <v>45832</v>
      </c>
      <c r="G13" s="4" t="s">
        <v>20</v>
      </c>
      <c r="H13" s="3" t="s">
        <v>22</v>
      </c>
      <c r="I13" s="3">
        <v>2</v>
      </c>
      <c r="J13" s="3">
        <v>1</v>
      </c>
      <c r="K13" s="3">
        <v>3</v>
      </c>
      <c r="L13" s="3">
        <v>18</v>
      </c>
      <c r="M13" s="3">
        <v>180</v>
      </c>
      <c r="N13" s="3">
        <v>60</v>
      </c>
      <c r="O13" s="7">
        <f>85+50*LOG10(6/M13)</f>
        <v>11.143937264016884</v>
      </c>
      <c r="P13" s="8">
        <f>85+50*LOG10(6/N13)</f>
        <v>35</v>
      </c>
      <c r="Q13" s="8">
        <f t="shared" si="0"/>
        <v>23.856062735983116</v>
      </c>
      <c r="S13">
        <f t="shared" si="1"/>
        <v>0</v>
      </c>
    </row>
    <row r="14" spans="1:22" x14ac:dyDescent="0.25">
      <c r="A14" s="3">
        <v>13</v>
      </c>
      <c r="B14" s="4">
        <v>3018982</v>
      </c>
      <c r="C14" s="4">
        <v>61</v>
      </c>
      <c r="D14" s="4" t="s">
        <v>17</v>
      </c>
      <c r="E14" s="5">
        <v>45485</v>
      </c>
      <c r="F14" s="6">
        <v>45736</v>
      </c>
      <c r="G14" s="4" t="s">
        <v>20</v>
      </c>
      <c r="H14" s="3" t="s">
        <v>22</v>
      </c>
      <c r="I14" s="3">
        <v>2</v>
      </c>
      <c r="J14" s="3">
        <v>1</v>
      </c>
      <c r="K14" s="3">
        <v>3</v>
      </c>
      <c r="L14" s="3">
        <v>28</v>
      </c>
      <c r="M14" s="3">
        <v>18</v>
      </c>
      <c r="N14" s="3">
        <v>240</v>
      </c>
      <c r="O14" s="7">
        <f>85+50*LOG10(6/M14)</f>
        <v>61.143937264016877</v>
      </c>
      <c r="P14" s="8">
        <f>85+50*LOG10(6/N14)</f>
        <v>4.8970004336018889</v>
      </c>
      <c r="Q14" s="8">
        <f t="shared" si="0"/>
        <v>-56.246936830414988</v>
      </c>
      <c r="R14" t="s">
        <v>98</v>
      </c>
      <c r="S14">
        <f t="shared" si="1"/>
        <v>1</v>
      </c>
    </row>
    <row r="15" spans="1:22" x14ac:dyDescent="0.25">
      <c r="A15" s="3">
        <v>14</v>
      </c>
      <c r="B15" s="4">
        <v>1036050</v>
      </c>
      <c r="C15" s="4">
        <v>38</v>
      </c>
      <c r="D15" s="4" t="s">
        <v>19</v>
      </c>
      <c r="E15" s="5">
        <v>45518</v>
      </c>
      <c r="F15" s="6">
        <v>45803</v>
      </c>
      <c r="G15" s="4" t="s">
        <v>20</v>
      </c>
      <c r="H15" s="3" t="s">
        <v>22</v>
      </c>
      <c r="I15" s="3">
        <v>2</v>
      </c>
      <c r="J15" s="3">
        <v>1</v>
      </c>
      <c r="K15" s="3">
        <v>3</v>
      </c>
      <c r="L15" s="3">
        <v>20</v>
      </c>
      <c r="M15" s="3" t="s">
        <v>23</v>
      </c>
      <c r="N15" s="3">
        <v>60</v>
      </c>
      <c r="O15" s="7">
        <v>0</v>
      </c>
      <c r="P15" s="8">
        <f t="shared" ref="P15:P25" si="3">85+50*LOG10(6/N15)</f>
        <v>35</v>
      </c>
      <c r="Q15" s="8">
        <f t="shared" si="0"/>
        <v>35</v>
      </c>
      <c r="S15">
        <f t="shared" si="1"/>
        <v>0</v>
      </c>
    </row>
    <row r="16" spans="1:22" x14ac:dyDescent="0.25">
      <c r="A16" s="3">
        <v>15</v>
      </c>
      <c r="B16" s="4">
        <v>498843</v>
      </c>
      <c r="C16" s="4">
        <v>56</v>
      </c>
      <c r="D16" s="4" t="s">
        <v>19</v>
      </c>
      <c r="E16" s="5">
        <v>45532</v>
      </c>
      <c r="F16" s="6">
        <v>45995</v>
      </c>
      <c r="G16" s="4" t="s">
        <v>20</v>
      </c>
      <c r="H16" s="3" t="s">
        <v>18</v>
      </c>
      <c r="I16" s="3">
        <v>2</v>
      </c>
      <c r="J16" s="3">
        <v>1</v>
      </c>
      <c r="K16" s="3">
        <v>3</v>
      </c>
      <c r="L16" s="3">
        <v>19</v>
      </c>
      <c r="M16" s="3" t="s">
        <v>29</v>
      </c>
      <c r="N16" s="3">
        <v>9</v>
      </c>
      <c r="O16" s="7">
        <v>0</v>
      </c>
      <c r="P16" s="8">
        <f t="shared" si="3"/>
        <v>76.195437047215933</v>
      </c>
      <c r="Q16" s="8">
        <f t="shared" si="0"/>
        <v>76.195437047215933</v>
      </c>
      <c r="S16">
        <f t="shared" si="1"/>
        <v>0</v>
      </c>
    </row>
    <row r="17" spans="1:19" x14ac:dyDescent="0.25">
      <c r="A17" s="3">
        <v>16</v>
      </c>
      <c r="B17" s="4">
        <v>1036584</v>
      </c>
      <c r="C17" s="4">
        <v>62</v>
      </c>
      <c r="D17" s="4" t="s">
        <v>17</v>
      </c>
      <c r="E17" s="5">
        <v>45547</v>
      </c>
      <c r="F17" s="6">
        <v>45877</v>
      </c>
      <c r="G17" s="4" t="s">
        <v>20</v>
      </c>
      <c r="H17" s="3" t="s">
        <v>22</v>
      </c>
      <c r="I17" s="3">
        <v>1</v>
      </c>
      <c r="J17" s="3">
        <v>1</v>
      </c>
      <c r="K17" s="3">
        <v>2</v>
      </c>
      <c r="L17" s="3">
        <v>22</v>
      </c>
      <c r="M17" s="3">
        <v>240</v>
      </c>
      <c r="N17" s="3">
        <v>36</v>
      </c>
      <c r="O17" s="7">
        <f>85+50*LOG10(6/M17)</f>
        <v>4.8970004336018889</v>
      </c>
      <c r="P17" s="8">
        <f t="shared" si="3"/>
        <v>46.092437480817821</v>
      </c>
      <c r="Q17" s="8">
        <f t="shared" si="0"/>
        <v>41.195437047215933</v>
      </c>
      <c r="S17">
        <f t="shared" si="1"/>
        <v>0</v>
      </c>
    </row>
    <row r="18" spans="1:19" x14ac:dyDescent="0.25">
      <c r="A18" s="3">
        <v>17</v>
      </c>
      <c r="B18" s="4">
        <v>1037588</v>
      </c>
      <c r="C18" s="4">
        <v>63</v>
      </c>
      <c r="D18" s="4" t="s">
        <v>19</v>
      </c>
      <c r="E18" s="5">
        <v>45552</v>
      </c>
      <c r="F18" s="6">
        <v>45696</v>
      </c>
      <c r="G18" s="4" t="s">
        <v>20</v>
      </c>
      <c r="H18" s="3" t="s">
        <v>18</v>
      </c>
      <c r="I18" s="3">
        <v>1</v>
      </c>
      <c r="J18" s="3">
        <v>1</v>
      </c>
      <c r="K18" s="3">
        <v>2</v>
      </c>
      <c r="L18" s="3">
        <v>15</v>
      </c>
      <c r="M18" s="3">
        <v>24</v>
      </c>
      <c r="N18" s="3">
        <v>9</v>
      </c>
      <c r="O18" s="7">
        <f>85+50*LOG10(6/M18)</f>
        <v>54.897000433601882</v>
      </c>
      <c r="P18" s="8">
        <f t="shared" si="3"/>
        <v>76.195437047215933</v>
      </c>
      <c r="Q18" s="8">
        <f t="shared" si="0"/>
        <v>21.298436613614051</v>
      </c>
      <c r="S18">
        <f t="shared" si="1"/>
        <v>0</v>
      </c>
    </row>
    <row r="19" spans="1:19" s="36" customFormat="1" x14ac:dyDescent="0.25">
      <c r="A19" s="29">
        <v>18</v>
      </c>
      <c r="B19" s="13">
        <v>1038291</v>
      </c>
      <c r="C19" s="13">
        <v>38</v>
      </c>
      <c r="D19" s="13" t="s">
        <v>19</v>
      </c>
      <c r="E19" s="37">
        <v>45558</v>
      </c>
      <c r="F19" s="32">
        <v>46007</v>
      </c>
      <c r="G19" s="13" t="s">
        <v>20</v>
      </c>
      <c r="H19" s="29" t="s">
        <v>18</v>
      </c>
      <c r="I19" s="29">
        <v>1</v>
      </c>
      <c r="J19" s="29">
        <v>4</v>
      </c>
      <c r="K19" s="29">
        <v>5</v>
      </c>
      <c r="L19" s="29">
        <v>53</v>
      </c>
      <c r="M19" s="29">
        <v>9</v>
      </c>
      <c r="N19" s="29">
        <v>180</v>
      </c>
      <c r="O19" s="33">
        <f>85+50*LOG10(6/M19)</f>
        <v>76.195437047215933</v>
      </c>
      <c r="P19" s="35">
        <f t="shared" si="3"/>
        <v>11.143937264016884</v>
      </c>
      <c r="Q19" s="35">
        <f t="shared" si="0"/>
        <v>-65.051499783199048</v>
      </c>
      <c r="S19" s="36">
        <f t="shared" si="1"/>
        <v>1</v>
      </c>
    </row>
    <row r="20" spans="1:19" x14ac:dyDescent="0.25">
      <c r="A20" s="3">
        <v>19</v>
      </c>
      <c r="B20" s="4">
        <v>1038291</v>
      </c>
      <c r="C20" s="4">
        <v>38</v>
      </c>
      <c r="D20" s="4" t="s">
        <v>17</v>
      </c>
      <c r="E20" s="5">
        <v>45558</v>
      </c>
      <c r="F20" s="6">
        <v>46007</v>
      </c>
      <c r="G20" s="4" t="s">
        <v>20</v>
      </c>
      <c r="H20" s="3" t="s">
        <v>22</v>
      </c>
      <c r="I20" s="3">
        <v>1</v>
      </c>
      <c r="J20" s="3">
        <v>6</v>
      </c>
      <c r="K20" s="3">
        <v>7</v>
      </c>
      <c r="L20" s="3">
        <v>53</v>
      </c>
      <c r="M20" s="3" t="s">
        <v>29</v>
      </c>
      <c r="N20" s="3">
        <v>18</v>
      </c>
      <c r="O20" s="7">
        <v>0</v>
      </c>
      <c r="P20" s="8">
        <f t="shared" si="3"/>
        <v>61.143937264016877</v>
      </c>
      <c r="Q20" s="8">
        <f t="shared" si="0"/>
        <v>61.143937264016877</v>
      </c>
      <c r="S20">
        <f t="shared" si="1"/>
        <v>0</v>
      </c>
    </row>
    <row r="21" spans="1:19" s="36" customFormat="1" x14ac:dyDescent="0.25">
      <c r="A21" s="29">
        <v>20</v>
      </c>
      <c r="B21" s="13" t="s">
        <v>38</v>
      </c>
      <c r="C21" s="13">
        <v>48</v>
      </c>
      <c r="D21" s="13" t="s">
        <v>17</v>
      </c>
      <c r="E21" s="37">
        <v>45583</v>
      </c>
      <c r="F21" s="32">
        <v>45601</v>
      </c>
      <c r="G21" s="13" t="s">
        <v>20</v>
      </c>
      <c r="H21" s="29" t="s">
        <v>18</v>
      </c>
      <c r="I21" s="29">
        <v>2</v>
      </c>
      <c r="J21" s="29">
        <v>1</v>
      </c>
      <c r="K21" s="29">
        <v>3</v>
      </c>
      <c r="L21" s="29">
        <v>16</v>
      </c>
      <c r="M21" s="29">
        <v>9</v>
      </c>
      <c r="N21" s="29">
        <v>24</v>
      </c>
      <c r="O21" s="33">
        <f>85+50*LOG10(6/M21)</f>
        <v>76.195437047215933</v>
      </c>
      <c r="P21" s="35">
        <f t="shared" si="3"/>
        <v>54.897000433601882</v>
      </c>
      <c r="Q21" s="35">
        <f t="shared" si="0"/>
        <v>-21.298436613614051</v>
      </c>
      <c r="R21" s="36" t="s">
        <v>99</v>
      </c>
      <c r="S21" s="36">
        <f t="shared" si="1"/>
        <v>1</v>
      </c>
    </row>
    <row r="22" spans="1:19" x14ac:dyDescent="0.25">
      <c r="A22" s="3">
        <v>21</v>
      </c>
      <c r="B22" s="4">
        <v>1038368</v>
      </c>
      <c r="C22" s="4">
        <v>65</v>
      </c>
      <c r="D22" s="4" t="s">
        <v>19</v>
      </c>
      <c r="E22" s="5">
        <v>45590</v>
      </c>
      <c r="F22" s="6">
        <v>45892</v>
      </c>
      <c r="G22" s="4" t="s">
        <v>20</v>
      </c>
      <c r="H22" s="3" t="s">
        <v>22</v>
      </c>
      <c r="I22" s="3">
        <v>2</v>
      </c>
      <c r="J22" s="3">
        <v>2</v>
      </c>
      <c r="K22" s="3">
        <v>4</v>
      </c>
      <c r="L22" s="3">
        <v>28</v>
      </c>
      <c r="M22" s="3" t="s">
        <v>23</v>
      </c>
      <c r="N22" s="3">
        <v>9</v>
      </c>
      <c r="O22" s="7">
        <v>0</v>
      </c>
      <c r="P22" s="8">
        <f t="shared" si="3"/>
        <v>76.195437047215933</v>
      </c>
      <c r="Q22" s="8">
        <f t="shared" si="0"/>
        <v>76.195437047215933</v>
      </c>
      <c r="S22">
        <f t="shared" si="1"/>
        <v>0</v>
      </c>
    </row>
    <row r="23" spans="1:19" x14ac:dyDescent="0.25">
      <c r="A23" s="3">
        <v>22</v>
      </c>
      <c r="B23" s="4">
        <v>1012151</v>
      </c>
      <c r="C23" s="4">
        <v>51</v>
      </c>
      <c r="D23" s="4" t="s">
        <v>17</v>
      </c>
      <c r="E23" s="5">
        <v>45595</v>
      </c>
      <c r="F23" s="6">
        <v>45810</v>
      </c>
      <c r="G23" s="4" t="s">
        <v>20</v>
      </c>
      <c r="H23" s="3" t="s">
        <v>18</v>
      </c>
      <c r="I23" s="3">
        <v>1</v>
      </c>
      <c r="J23" s="3">
        <v>1</v>
      </c>
      <c r="K23" s="3">
        <v>4</v>
      </c>
      <c r="L23" s="3">
        <v>25</v>
      </c>
      <c r="M23" s="3">
        <v>9</v>
      </c>
      <c r="N23" s="3">
        <v>6</v>
      </c>
      <c r="O23" s="7">
        <f>85+50*LOG10(6/M23)</f>
        <v>76.195437047215933</v>
      </c>
      <c r="P23" s="8">
        <f t="shared" si="3"/>
        <v>85</v>
      </c>
      <c r="Q23" s="8">
        <f t="shared" si="0"/>
        <v>8.8045629527840674</v>
      </c>
      <c r="S23">
        <f t="shared" si="1"/>
        <v>0</v>
      </c>
    </row>
    <row r="24" spans="1:19" x14ac:dyDescent="0.25">
      <c r="A24" s="3">
        <v>23</v>
      </c>
      <c r="B24" s="4">
        <v>3075712</v>
      </c>
      <c r="C24" s="4">
        <v>49</v>
      </c>
      <c r="D24" s="4" t="s">
        <v>17</v>
      </c>
      <c r="E24" s="5">
        <v>45602</v>
      </c>
      <c r="F24" s="6">
        <v>45980</v>
      </c>
      <c r="G24" s="4" t="s">
        <v>20</v>
      </c>
      <c r="H24" s="3" t="s">
        <v>22</v>
      </c>
      <c r="I24" s="3">
        <v>1</v>
      </c>
      <c r="J24" s="3">
        <v>2</v>
      </c>
      <c r="K24" s="3">
        <v>3</v>
      </c>
      <c r="L24" s="3">
        <v>20</v>
      </c>
      <c r="M24" s="3">
        <v>36</v>
      </c>
      <c r="N24" s="3">
        <v>24</v>
      </c>
      <c r="O24" s="7">
        <f>85+50*LOG10(6/M24)</f>
        <v>46.092437480817821</v>
      </c>
      <c r="P24" s="8">
        <f t="shared" si="3"/>
        <v>54.897000433601882</v>
      </c>
      <c r="Q24" s="8">
        <f t="shared" si="0"/>
        <v>8.8045629527840603</v>
      </c>
      <c r="S24">
        <f t="shared" si="1"/>
        <v>0</v>
      </c>
    </row>
    <row r="25" spans="1:19" x14ac:dyDescent="0.25">
      <c r="A25" s="3">
        <v>24</v>
      </c>
      <c r="B25" s="4">
        <v>1039364</v>
      </c>
      <c r="C25" s="4">
        <v>53</v>
      </c>
      <c r="D25" s="4" t="s">
        <v>17</v>
      </c>
      <c r="E25" s="5">
        <v>45598</v>
      </c>
      <c r="F25" s="6">
        <v>45948</v>
      </c>
      <c r="G25" s="4" t="s">
        <v>20</v>
      </c>
      <c r="H25" s="3" t="s">
        <v>18</v>
      </c>
      <c r="I25" s="3">
        <v>1</v>
      </c>
      <c r="J25" s="3">
        <v>1</v>
      </c>
      <c r="K25" s="3">
        <v>2</v>
      </c>
      <c r="L25" s="3">
        <v>23</v>
      </c>
      <c r="M25" s="3">
        <v>240</v>
      </c>
      <c r="N25" s="3">
        <v>24</v>
      </c>
      <c r="O25" s="7">
        <f>85+50*LOG10(6/M25)</f>
        <v>4.8970004336018889</v>
      </c>
      <c r="P25" s="8">
        <f t="shared" si="3"/>
        <v>54.897000433601882</v>
      </c>
      <c r="Q25" s="8">
        <f t="shared" si="0"/>
        <v>49.999999999999993</v>
      </c>
      <c r="S25">
        <f t="shared" si="1"/>
        <v>0</v>
      </c>
    </row>
    <row r="26" spans="1:19" x14ac:dyDescent="0.25">
      <c r="A26" s="3">
        <v>25</v>
      </c>
      <c r="B26" s="4">
        <v>259482</v>
      </c>
      <c r="C26" s="4">
        <v>62</v>
      </c>
      <c r="D26" s="4" t="s">
        <v>17</v>
      </c>
      <c r="E26" s="5">
        <v>45583</v>
      </c>
      <c r="F26" s="6">
        <v>46001</v>
      </c>
      <c r="G26" s="4" t="s">
        <v>20</v>
      </c>
      <c r="H26" s="3" t="s">
        <v>22</v>
      </c>
      <c r="I26" s="3">
        <v>1</v>
      </c>
      <c r="J26" s="3">
        <v>2</v>
      </c>
      <c r="K26" s="3">
        <v>3</v>
      </c>
      <c r="L26" s="3">
        <v>27</v>
      </c>
      <c r="M26" s="3" t="s">
        <v>39</v>
      </c>
      <c r="N26" s="3" t="s">
        <v>39</v>
      </c>
      <c r="O26" s="7">
        <v>0</v>
      </c>
      <c r="P26" s="8">
        <v>0</v>
      </c>
      <c r="Q26" s="8">
        <f t="shared" si="0"/>
        <v>0</v>
      </c>
      <c r="S26">
        <f t="shared" si="1"/>
        <v>0</v>
      </c>
    </row>
    <row r="27" spans="1:19" x14ac:dyDescent="0.25">
      <c r="A27" s="3">
        <v>26</v>
      </c>
      <c r="B27" s="4">
        <v>902728</v>
      </c>
      <c r="C27" s="4">
        <v>64</v>
      </c>
      <c r="D27" s="4" t="s">
        <v>17</v>
      </c>
      <c r="E27" s="5">
        <v>45611</v>
      </c>
      <c r="F27" s="6">
        <v>45668</v>
      </c>
      <c r="G27" s="4" t="s">
        <v>20</v>
      </c>
      <c r="H27" s="3" t="s">
        <v>22</v>
      </c>
      <c r="I27" s="3">
        <v>1</v>
      </c>
      <c r="J27" s="3">
        <v>1</v>
      </c>
      <c r="K27" s="3">
        <v>2</v>
      </c>
      <c r="L27" s="3">
        <v>6</v>
      </c>
      <c r="M27" s="3">
        <v>180</v>
      </c>
      <c r="N27" s="3">
        <v>60</v>
      </c>
      <c r="O27" s="7">
        <f t="shared" ref="O27:P30" si="4">85+50*LOG10(6/M27)</f>
        <v>11.143937264016884</v>
      </c>
      <c r="P27" s="8">
        <f t="shared" si="4"/>
        <v>35</v>
      </c>
      <c r="Q27" s="8">
        <f t="shared" si="0"/>
        <v>23.856062735983116</v>
      </c>
      <c r="S27">
        <f t="shared" si="1"/>
        <v>0</v>
      </c>
    </row>
    <row r="28" spans="1:19" x14ac:dyDescent="0.25">
      <c r="A28" s="3">
        <v>27</v>
      </c>
      <c r="B28" s="4">
        <v>1021205</v>
      </c>
      <c r="C28" s="4">
        <v>52</v>
      </c>
      <c r="D28" s="4" t="s">
        <v>17</v>
      </c>
      <c r="E28" s="5">
        <v>45563</v>
      </c>
      <c r="F28" s="6">
        <v>45854</v>
      </c>
      <c r="G28" s="4" t="s">
        <v>20</v>
      </c>
      <c r="H28" s="3" t="s">
        <v>18</v>
      </c>
      <c r="I28" s="3">
        <v>1</v>
      </c>
      <c r="J28" s="3">
        <v>1</v>
      </c>
      <c r="K28" s="3">
        <v>2</v>
      </c>
      <c r="L28" s="3">
        <v>22</v>
      </c>
      <c r="M28" s="3">
        <v>9</v>
      </c>
      <c r="N28" s="3">
        <v>6</v>
      </c>
      <c r="O28" s="7">
        <f t="shared" si="4"/>
        <v>76.195437047215933</v>
      </c>
      <c r="P28" s="8">
        <f t="shared" si="4"/>
        <v>85</v>
      </c>
      <c r="Q28" s="8">
        <f t="shared" si="0"/>
        <v>8.8045629527840674</v>
      </c>
      <c r="S28">
        <f t="shared" si="1"/>
        <v>0</v>
      </c>
    </row>
    <row r="29" spans="1:19" x14ac:dyDescent="0.25">
      <c r="A29" s="3">
        <v>28</v>
      </c>
      <c r="B29" s="4">
        <v>1040131</v>
      </c>
      <c r="C29" s="4">
        <v>56</v>
      </c>
      <c r="D29" s="4" t="s">
        <v>19</v>
      </c>
      <c r="E29" s="5">
        <v>45619</v>
      </c>
      <c r="F29" s="6">
        <v>45969</v>
      </c>
      <c r="G29" s="4" t="s">
        <v>20</v>
      </c>
      <c r="H29" s="3" t="s">
        <v>22</v>
      </c>
      <c r="I29" s="3">
        <v>2</v>
      </c>
      <c r="J29" s="3">
        <v>1</v>
      </c>
      <c r="K29" s="3">
        <v>3</v>
      </c>
      <c r="L29" s="3">
        <v>18</v>
      </c>
      <c r="M29" s="3">
        <v>36</v>
      </c>
      <c r="N29" s="3">
        <v>36</v>
      </c>
      <c r="O29" s="7">
        <f t="shared" si="4"/>
        <v>46.092437480817821</v>
      </c>
      <c r="P29" s="8">
        <f t="shared" si="4"/>
        <v>46.092437480817821</v>
      </c>
      <c r="Q29" s="8">
        <f t="shared" si="0"/>
        <v>0</v>
      </c>
      <c r="S29">
        <f t="shared" si="1"/>
        <v>0</v>
      </c>
    </row>
    <row r="30" spans="1:19" x14ac:dyDescent="0.25">
      <c r="A30" s="3">
        <v>29</v>
      </c>
      <c r="B30" s="4">
        <v>808358</v>
      </c>
      <c r="C30" s="4">
        <v>59</v>
      </c>
      <c r="D30" s="4" t="s">
        <v>19</v>
      </c>
      <c r="E30" s="5">
        <v>45637</v>
      </c>
      <c r="F30" s="6">
        <v>45974</v>
      </c>
      <c r="G30" s="4" t="s">
        <v>20</v>
      </c>
      <c r="H30" s="3" t="s">
        <v>18</v>
      </c>
      <c r="I30" s="3">
        <v>2</v>
      </c>
      <c r="J30" s="3">
        <v>2</v>
      </c>
      <c r="K30" s="3">
        <v>4</v>
      </c>
      <c r="L30" s="3">
        <v>29</v>
      </c>
      <c r="M30" s="3">
        <v>300</v>
      </c>
      <c r="N30" s="3">
        <v>9</v>
      </c>
      <c r="O30" s="7">
        <f t="shared" si="4"/>
        <v>5.1499783199062676E-2</v>
      </c>
      <c r="P30" s="8">
        <f t="shared" si="4"/>
        <v>76.195437047215933</v>
      </c>
      <c r="Q30" s="8">
        <f t="shared" si="0"/>
        <v>76.14393726401687</v>
      </c>
      <c r="S30">
        <f t="shared" si="1"/>
        <v>0</v>
      </c>
    </row>
    <row r="31" spans="1:19" x14ac:dyDescent="0.25">
      <c r="A31" s="3">
        <v>30</v>
      </c>
      <c r="B31" s="4">
        <v>266347</v>
      </c>
      <c r="C31" s="4">
        <v>57</v>
      </c>
      <c r="D31" s="4" t="s">
        <v>17</v>
      </c>
      <c r="E31" s="5">
        <v>45618</v>
      </c>
      <c r="F31" s="6">
        <v>45825</v>
      </c>
      <c r="G31" s="4" t="s">
        <v>20</v>
      </c>
      <c r="H31" s="3" t="s">
        <v>18</v>
      </c>
      <c r="I31" s="3">
        <v>1</v>
      </c>
      <c r="J31" s="3">
        <v>1</v>
      </c>
      <c r="K31" s="3">
        <v>2</v>
      </c>
      <c r="L31" s="3">
        <v>10</v>
      </c>
      <c r="M31" s="3" t="s">
        <v>23</v>
      </c>
      <c r="N31" s="3">
        <v>9</v>
      </c>
      <c r="O31" s="7">
        <v>0</v>
      </c>
      <c r="P31" s="8">
        <f t="shared" ref="P31:P38" si="5">85+50*LOG10(6/N31)</f>
        <v>76.195437047215933</v>
      </c>
      <c r="Q31" s="8">
        <f t="shared" si="0"/>
        <v>76.195437047215933</v>
      </c>
      <c r="S31">
        <f t="shared" si="1"/>
        <v>0</v>
      </c>
    </row>
    <row r="32" spans="1:19" x14ac:dyDescent="0.25">
      <c r="A32" s="3">
        <v>31</v>
      </c>
      <c r="B32" s="4">
        <v>4002644</v>
      </c>
      <c r="C32" s="4">
        <v>63</v>
      </c>
      <c r="D32" s="4" t="s">
        <v>19</v>
      </c>
      <c r="E32" s="5">
        <v>45622</v>
      </c>
      <c r="F32" s="6">
        <v>45695</v>
      </c>
      <c r="G32" s="4" t="s">
        <v>20</v>
      </c>
      <c r="H32" s="3" t="s">
        <v>18</v>
      </c>
      <c r="I32" s="3">
        <v>1</v>
      </c>
      <c r="J32" s="3">
        <v>1</v>
      </c>
      <c r="K32" s="3">
        <v>2</v>
      </c>
      <c r="L32" s="3">
        <v>9</v>
      </c>
      <c r="M32" s="3" t="s">
        <v>23</v>
      </c>
      <c r="N32" s="3">
        <v>18</v>
      </c>
      <c r="O32" s="7">
        <v>0</v>
      </c>
      <c r="P32" s="8">
        <f t="shared" si="5"/>
        <v>61.143937264016877</v>
      </c>
      <c r="Q32" s="8">
        <f t="shared" si="0"/>
        <v>61.143937264016877</v>
      </c>
      <c r="S32">
        <f t="shared" si="1"/>
        <v>0</v>
      </c>
    </row>
    <row r="33" spans="1:19" x14ac:dyDescent="0.25">
      <c r="A33" s="3">
        <v>32</v>
      </c>
      <c r="B33" s="4">
        <v>1039754</v>
      </c>
      <c r="C33" s="4">
        <v>50</v>
      </c>
      <c r="D33" s="4" t="s">
        <v>19</v>
      </c>
      <c r="E33" s="5">
        <v>45603</v>
      </c>
      <c r="F33" s="6">
        <v>45983</v>
      </c>
      <c r="G33" s="4" t="s">
        <v>20</v>
      </c>
      <c r="H33" s="3" t="s">
        <v>18</v>
      </c>
      <c r="I33" s="3">
        <v>2</v>
      </c>
      <c r="J33" s="3">
        <v>1</v>
      </c>
      <c r="K33" s="3">
        <v>3</v>
      </c>
      <c r="L33" s="3">
        <v>13</v>
      </c>
      <c r="M33" s="3">
        <v>300</v>
      </c>
      <c r="N33" s="3">
        <v>180</v>
      </c>
      <c r="O33" s="8">
        <f>85+50*LOG10(6/M33)</f>
        <v>5.1499783199062676E-2</v>
      </c>
      <c r="P33" s="8">
        <f t="shared" si="5"/>
        <v>11.143937264016884</v>
      </c>
      <c r="Q33" s="8">
        <f t="shared" si="0"/>
        <v>11.092437480817821</v>
      </c>
      <c r="S33">
        <f t="shared" si="1"/>
        <v>0</v>
      </c>
    </row>
    <row r="34" spans="1:19" x14ac:dyDescent="0.25">
      <c r="A34" s="3">
        <v>33</v>
      </c>
      <c r="B34" s="4">
        <v>1009893</v>
      </c>
      <c r="C34" s="4">
        <v>60</v>
      </c>
      <c r="D34" s="4" t="s">
        <v>19</v>
      </c>
      <c r="E34" s="5">
        <v>45653</v>
      </c>
      <c r="F34" s="6">
        <v>45887</v>
      </c>
      <c r="G34" s="4" t="s">
        <v>20</v>
      </c>
      <c r="H34" s="3" t="s">
        <v>18</v>
      </c>
      <c r="I34" s="3">
        <v>1</v>
      </c>
      <c r="J34" s="3">
        <v>3</v>
      </c>
      <c r="K34" s="3">
        <v>4</v>
      </c>
      <c r="L34" s="3">
        <v>26</v>
      </c>
      <c r="M34" s="3">
        <v>60</v>
      </c>
      <c r="N34" s="3">
        <v>18</v>
      </c>
      <c r="O34" s="8">
        <f>85+50*LOG10(6/M34)</f>
        <v>35</v>
      </c>
      <c r="P34" s="8">
        <f t="shared" si="5"/>
        <v>61.143937264016877</v>
      </c>
      <c r="Q34" s="8">
        <f t="shared" ref="Q34:Q65" si="6">P34-O34</f>
        <v>26.143937264016877</v>
      </c>
      <c r="S34">
        <f t="shared" si="1"/>
        <v>0</v>
      </c>
    </row>
    <row r="35" spans="1:19" x14ac:dyDescent="0.25">
      <c r="A35" s="3">
        <v>34</v>
      </c>
      <c r="B35" s="4">
        <v>267004</v>
      </c>
      <c r="C35" s="4">
        <v>50</v>
      </c>
      <c r="D35" s="4" t="s">
        <v>47</v>
      </c>
      <c r="E35" s="5">
        <v>45680</v>
      </c>
      <c r="F35" s="6">
        <v>46007</v>
      </c>
      <c r="G35" s="4" t="s">
        <v>20</v>
      </c>
      <c r="H35" s="3" t="s">
        <v>18</v>
      </c>
      <c r="I35" s="3">
        <v>1</v>
      </c>
      <c r="J35" s="3">
        <v>1</v>
      </c>
      <c r="K35" s="3">
        <v>2</v>
      </c>
      <c r="L35" s="3">
        <v>12</v>
      </c>
      <c r="M35" s="3">
        <v>180</v>
      </c>
      <c r="N35" s="3">
        <v>6</v>
      </c>
      <c r="O35" s="8">
        <f>85+50*LOG10(6/M35)</f>
        <v>11.143937264016884</v>
      </c>
      <c r="P35" s="8">
        <f t="shared" si="5"/>
        <v>85</v>
      </c>
      <c r="Q35" s="8">
        <f t="shared" si="6"/>
        <v>73.856062735983116</v>
      </c>
      <c r="S35">
        <f t="shared" si="1"/>
        <v>0</v>
      </c>
    </row>
    <row r="36" spans="1:19" x14ac:dyDescent="0.25">
      <c r="A36" s="3">
        <v>35</v>
      </c>
      <c r="B36" s="4">
        <v>1039646</v>
      </c>
      <c r="C36" s="4">
        <v>48</v>
      </c>
      <c r="D36" s="4" t="s">
        <v>46</v>
      </c>
      <c r="E36" s="5">
        <v>45678</v>
      </c>
      <c r="F36" s="6">
        <v>45937</v>
      </c>
      <c r="G36" s="4" t="s">
        <v>20</v>
      </c>
      <c r="H36" s="3" t="s">
        <v>18</v>
      </c>
      <c r="I36" s="3">
        <v>1</v>
      </c>
      <c r="J36" s="3">
        <v>2</v>
      </c>
      <c r="K36" s="3">
        <v>3</v>
      </c>
      <c r="L36" s="3">
        <v>15</v>
      </c>
      <c r="M36" s="3">
        <v>180</v>
      </c>
      <c r="N36" s="3">
        <v>6</v>
      </c>
      <c r="O36" s="8">
        <f>85+50*LOG10(6/M36)</f>
        <v>11.143937264016884</v>
      </c>
      <c r="P36" s="8">
        <f t="shared" si="5"/>
        <v>85</v>
      </c>
      <c r="Q36" s="8">
        <f t="shared" si="6"/>
        <v>73.856062735983116</v>
      </c>
      <c r="S36">
        <f t="shared" si="1"/>
        <v>0</v>
      </c>
    </row>
    <row r="37" spans="1:19" x14ac:dyDescent="0.25">
      <c r="A37" s="3">
        <v>36</v>
      </c>
      <c r="B37" s="4">
        <v>399650</v>
      </c>
      <c r="C37" s="4">
        <v>45</v>
      </c>
      <c r="D37" s="4" t="s">
        <v>47</v>
      </c>
      <c r="E37" s="5">
        <v>45666</v>
      </c>
      <c r="F37" s="6">
        <v>45987</v>
      </c>
      <c r="G37" s="4" t="s">
        <v>20</v>
      </c>
      <c r="H37" s="3" t="s">
        <v>22</v>
      </c>
      <c r="I37" s="3">
        <v>2</v>
      </c>
      <c r="J37" s="3">
        <v>1</v>
      </c>
      <c r="K37" s="3">
        <v>3</v>
      </c>
      <c r="L37" s="3">
        <v>22</v>
      </c>
      <c r="M37" s="3">
        <v>300</v>
      </c>
      <c r="N37" s="3">
        <v>180</v>
      </c>
      <c r="O37" s="8">
        <f>85+50*LOG10(6/M37)</f>
        <v>5.1499783199062676E-2</v>
      </c>
      <c r="P37" s="8">
        <f t="shared" si="5"/>
        <v>11.143937264016884</v>
      </c>
      <c r="Q37" s="8">
        <f t="shared" si="6"/>
        <v>11.092437480817821</v>
      </c>
      <c r="S37">
        <f t="shared" si="1"/>
        <v>0</v>
      </c>
    </row>
    <row r="38" spans="1:19" x14ac:dyDescent="0.25">
      <c r="A38" s="3">
        <v>37</v>
      </c>
      <c r="B38" s="4">
        <v>904096</v>
      </c>
      <c r="C38" s="4">
        <v>47</v>
      </c>
      <c r="D38" s="4" t="s">
        <v>46</v>
      </c>
      <c r="E38" s="5">
        <v>45684</v>
      </c>
      <c r="F38" s="6">
        <v>45729</v>
      </c>
      <c r="G38" s="4" t="s">
        <v>20</v>
      </c>
      <c r="H38" s="3" t="s">
        <v>18</v>
      </c>
      <c r="I38" s="3">
        <v>1</v>
      </c>
      <c r="J38" s="3">
        <v>1</v>
      </c>
      <c r="K38" s="3">
        <v>2</v>
      </c>
      <c r="L38" s="3">
        <v>8</v>
      </c>
      <c r="M38" s="3" t="s">
        <v>23</v>
      </c>
      <c r="N38" s="3">
        <v>60</v>
      </c>
      <c r="O38" s="8">
        <v>0</v>
      </c>
      <c r="P38" s="8">
        <f t="shared" si="5"/>
        <v>35</v>
      </c>
      <c r="Q38" s="8">
        <f t="shared" si="6"/>
        <v>35</v>
      </c>
      <c r="S38">
        <f t="shared" si="1"/>
        <v>0</v>
      </c>
    </row>
    <row r="39" spans="1:19" x14ac:dyDescent="0.25">
      <c r="A39" s="3">
        <v>38</v>
      </c>
      <c r="B39" s="4">
        <v>484112</v>
      </c>
      <c r="C39" s="4">
        <v>54</v>
      </c>
      <c r="D39" s="4" t="s">
        <v>46</v>
      </c>
      <c r="E39" s="5">
        <v>45705</v>
      </c>
      <c r="F39" s="6">
        <v>46009</v>
      </c>
      <c r="G39" s="4" t="s">
        <v>20</v>
      </c>
      <c r="H39" s="3" t="s">
        <v>22</v>
      </c>
      <c r="I39" s="3">
        <v>3</v>
      </c>
      <c r="J39" s="3">
        <v>2</v>
      </c>
      <c r="K39" s="3">
        <v>5</v>
      </c>
      <c r="L39" s="3">
        <v>33</v>
      </c>
      <c r="M39" s="3" t="s">
        <v>29</v>
      </c>
      <c r="N39" s="3" t="s">
        <v>39</v>
      </c>
      <c r="O39" s="8">
        <v>0</v>
      </c>
      <c r="P39" s="8">
        <v>0</v>
      </c>
      <c r="Q39" s="8">
        <f t="shared" si="6"/>
        <v>0</v>
      </c>
      <c r="S39">
        <f t="shared" si="1"/>
        <v>0</v>
      </c>
    </row>
    <row r="40" spans="1:19" x14ac:dyDescent="0.25">
      <c r="A40" s="3">
        <v>39</v>
      </c>
      <c r="B40" s="4">
        <v>266730</v>
      </c>
      <c r="C40" s="4">
        <v>68</v>
      </c>
      <c r="D40" s="4" t="s">
        <v>46</v>
      </c>
      <c r="E40" s="5">
        <v>45709</v>
      </c>
      <c r="F40" s="6">
        <v>45824</v>
      </c>
      <c r="G40" s="4" t="s">
        <v>20</v>
      </c>
      <c r="H40" s="3" t="s">
        <v>22</v>
      </c>
      <c r="I40" s="3">
        <v>1</v>
      </c>
      <c r="J40" s="3">
        <v>1</v>
      </c>
      <c r="K40" s="3">
        <v>1</v>
      </c>
      <c r="L40" s="3">
        <v>6</v>
      </c>
      <c r="M40" s="3">
        <v>36</v>
      </c>
      <c r="N40" s="3">
        <v>18</v>
      </c>
      <c r="O40" s="8">
        <f>85+50*LOG10(6/M40)</f>
        <v>46.092437480817821</v>
      </c>
      <c r="P40" s="8">
        <f>85+50*LOG10(6/N40)</f>
        <v>61.143937264016877</v>
      </c>
      <c r="Q40" s="8">
        <f t="shared" si="6"/>
        <v>15.051499783199056</v>
      </c>
      <c r="S40">
        <f t="shared" si="1"/>
        <v>0</v>
      </c>
    </row>
    <row r="41" spans="1:19" x14ac:dyDescent="0.25">
      <c r="A41" s="3">
        <v>40</v>
      </c>
      <c r="B41" s="4">
        <v>1041052</v>
      </c>
      <c r="C41" s="4">
        <v>60</v>
      </c>
      <c r="D41" s="4" t="s">
        <v>46</v>
      </c>
      <c r="E41" s="5">
        <v>45702</v>
      </c>
      <c r="F41" s="6">
        <v>45794</v>
      </c>
      <c r="G41" s="4" t="s">
        <v>20</v>
      </c>
      <c r="H41" s="3" t="s">
        <v>18</v>
      </c>
      <c r="I41" s="3">
        <v>1</v>
      </c>
      <c r="J41" s="3">
        <v>1</v>
      </c>
      <c r="K41" s="3">
        <v>2</v>
      </c>
      <c r="L41" s="3">
        <v>14</v>
      </c>
      <c r="M41" s="3">
        <v>18</v>
      </c>
      <c r="N41" s="3">
        <v>18</v>
      </c>
      <c r="O41" s="8">
        <f>85+50*LOG10(6/M41)</f>
        <v>61.143937264016877</v>
      </c>
      <c r="P41" s="8">
        <f>85+50*LOG10(6/N41)</f>
        <v>61.143937264016877</v>
      </c>
      <c r="Q41" s="8">
        <f t="shared" si="6"/>
        <v>0</v>
      </c>
      <c r="S41">
        <f t="shared" si="1"/>
        <v>0</v>
      </c>
    </row>
    <row r="42" spans="1:19" x14ac:dyDescent="0.25">
      <c r="A42" s="3">
        <v>41</v>
      </c>
      <c r="B42" s="4">
        <v>1043015</v>
      </c>
      <c r="C42" s="4">
        <v>70</v>
      </c>
      <c r="D42" s="4" t="s">
        <v>46</v>
      </c>
      <c r="E42" s="5">
        <v>45698</v>
      </c>
      <c r="F42" s="6">
        <v>45793</v>
      </c>
      <c r="G42" s="4" t="s">
        <v>20</v>
      </c>
      <c r="H42" s="3" t="s">
        <v>18</v>
      </c>
      <c r="I42" s="3">
        <v>1</v>
      </c>
      <c r="J42" s="3">
        <v>1</v>
      </c>
      <c r="K42" s="3">
        <v>2</v>
      </c>
      <c r="L42" s="3">
        <v>11</v>
      </c>
      <c r="M42" s="3" t="s">
        <v>29</v>
      </c>
      <c r="N42" s="3">
        <v>9</v>
      </c>
      <c r="O42" s="8">
        <v>0</v>
      </c>
      <c r="P42" s="8">
        <f t="shared" ref="P42:P57" si="7">85+50*LOG10(6/N42)</f>
        <v>76.195437047215933</v>
      </c>
      <c r="Q42" s="8">
        <f t="shared" si="6"/>
        <v>76.195437047215933</v>
      </c>
      <c r="S42">
        <f t="shared" si="1"/>
        <v>0</v>
      </c>
    </row>
    <row r="43" spans="1:19" x14ac:dyDescent="0.25">
      <c r="A43" s="3">
        <v>42</v>
      </c>
      <c r="B43" s="4">
        <v>4003782</v>
      </c>
      <c r="C43" s="4">
        <v>52</v>
      </c>
      <c r="D43" s="4" t="s">
        <v>47</v>
      </c>
      <c r="E43" s="5">
        <v>45723</v>
      </c>
      <c r="F43" s="6">
        <v>45850</v>
      </c>
      <c r="G43" s="4" t="s">
        <v>20</v>
      </c>
      <c r="H43" s="3" t="s">
        <v>22</v>
      </c>
      <c r="I43" s="3">
        <v>1</v>
      </c>
      <c r="J43" s="3">
        <v>1</v>
      </c>
      <c r="K43" s="3">
        <v>2</v>
      </c>
      <c r="L43" s="3">
        <v>8</v>
      </c>
      <c r="M43" s="3">
        <v>60</v>
      </c>
      <c r="N43" s="3">
        <v>24</v>
      </c>
      <c r="O43" s="8">
        <f>85+50*LOG10(6/M43)</f>
        <v>35</v>
      </c>
      <c r="P43" s="8">
        <f t="shared" si="7"/>
        <v>54.897000433601882</v>
      </c>
      <c r="Q43" s="8">
        <f t="shared" si="6"/>
        <v>19.897000433601882</v>
      </c>
      <c r="S43">
        <f t="shared" si="1"/>
        <v>0</v>
      </c>
    </row>
    <row r="44" spans="1:19" x14ac:dyDescent="0.25">
      <c r="A44" s="3">
        <v>43</v>
      </c>
      <c r="B44" s="4">
        <v>1043261</v>
      </c>
      <c r="C44" s="4">
        <v>50</v>
      </c>
      <c r="D44" s="4" t="s">
        <v>46</v>
      </c>
      <c r="E44" s="5">
        <v>45705</v>
      </c>
      <c r="F44" s="6">
        <v>46043</v>
      </c>
      <c r="G44" s="4" t="s">
        <v>20</v>
      </c>
      <c r="H44" s="3" t="s">
        <v>18</v>
      </c>
      <c r="I44" s="3">
        <v>2</v>
      </c>
      <c r="J44" s="3">
        <v>2</v>
      </c>
      <c r="K44" s="3">
        <v>4</v>
      </c>
      <c r="L44" s="3">
        <v>33</v>
      </c>
      <c r="M44" s="3" t="s">
        <v>39</v>
      </c>
      <c r="N44" s="3">
        <v>12</v>
      </c>
      <c r="O44" s="8">
        <v>0</v>
      </c>
      <c r="P44" s="8">
        <f t="shared" si="7"/>
        <v>69.948500216800937</v>
      </c>
      <c r="Q44" s="8">
        <f t="shared" si="6"/>
        <v>69.948500216800937</v>
      </c>
      <c r="S44">
        <f t="shared" si="1"/>
        <v>0</v>
      </c>
    </row>
    <row r="45" spans="1:19" x14ac:dyDescent="0.25">
      <c r="A45" s="3">
        <v>44</v>
      </c>
      <c r="B45" s="4">
        <v>1043261</v>
      </c>
      <c r="C45" s="4">
        <v>50</v>
      </c>
      <c r="D45" s="4" t="s">
        <v>46</v>
      </c>
      <c r="E45" s="5">
        <v>45705</v>
      </c>
      <c r="F45" s="6">
        <v>46043</v>
      </c>
      <c r="G45" s="4" t="s">
        <v>20</v>
      </c>
      <c r="H45" s="3" t="s">
        <v>22</v>
      </c>
      <c r="I45" s="3">
        <v>3</v>
      </c>
      <c r="J45" s="3">
        <v>2</v>
      </c>
      <c r="K45" s="3">
        <v>5</v>
      </c>
      <c r="L45" s="3">
        <v>33</v>
      </c>
      <c r="M45" s="3">
        <v>18</v>
      </c>
      <c r="N45" s="3">
        <v>24</v>
      </c>
      <c r="O45" s="8">
        <f>85+50*LOG10(6/M45)</f>
        <v>61.143937264016877</v>
      </c>
      <c r="P45" s="8">
        <f t="shared" si="7"/>
        <v>54.897000433601882</v>
      </c>
      <c r="Q45" s="8">
        <f t="shared" si="6"/>
        <v>-6.2469368304149953</v>
      </c>
      <c r="R45" t="s">
        <v>100</v>
      </c>
      <c r="S45">
        <f t="shared" si="1"/>
        <v>1</v>
      </c>
    </row>
    <row r="46" spans="1:19" x14ac:dyDescent="0.25">
      <c r="A46" s="3">
        <v>45</v>
      </c>
      <c r="B46" s="14">
        <v>1044892</v>
      </c>
      <c r="C46" s="3">
        <v>62</v>
      </c>
      <c r="D46" s="3" t="s">
        <v>47</v>
      </c>
      <c r="E46" s="15">
        <v>45751</v>
      </c>
      <c r="F46" s="6">
        <v>45955</v>
      </c>
      <c r="G46" s="4" t="s">
        <v>20</v>
      </c>
      <c r="H46" s="3" t="s">
        <v>22</v>
      </c>
      <c r="I46" s="3">
        <v>1</v>
      </c>
      <c r="J46" s="3">
        <v>1</v>
      </c>
      <c r="K46" s="3">
        <v>2</v>
      </c>
      <c r="L46" s="3">
        <v>7</v>
      </c>
      <c r="M46" s="3" t="s">
        <v>39</v>
      </c>
      <c r="N46" s="3">
        <v>9</v>
      </c>
      <c r="O46" s="8">
        <v>0</v>
      </c>
      <c r="P46" s="8">
        <f t="shared" si="7"/>
        <v>76.195437047215933</v>
      </c>
      <c r="Q46" s="8">
        <f t="shared" si="6"/>
        <v>76.195437047215933</v>
      </c>
      <c r="S46">
        <f t="shared" si="1"/>
        <v>0</v>
      </c>
    </row>
    <row r="47" spans="1:19" x14ac:dyDescent="0.25">
      <c r="A47" s="3">
        <v>46</v>
      </c>
      <c r="B47" s="14">
        <v>1033146</v>
      </c>
      <c r="C47" s="3">
        <v>52</v>
      </c>
      <c r="D47" s="3" t="s">
        <v>47</v>
      </c>
      <c r="E47" s="15">
        <v>45418</v>
      </c>
      <c r="F47" s="6">
        <v>45976</v>
      </c>
      <c r="G47" s="4" t="s">
        <v>20</v>
      </c>
      <c r="H47" s="3" t="s">
        <v>22</v>
      </c>
      <c r="I47" s="3">
        <v>1</v>
      </c>
      <c r="J47" s="3">
        <v>4</v>
      </c>
      <c r="K47" s="3">
        <v>5</v>
      </c>
      <c r="L47" s="3">
        <v>26</v>
      </c>
      <c r="M47" s="3">
        <v>6</v>
      </c>
      <c r="N47" s="3">
        <v>6</v>
      </c>
      <c r="O47" s="8">
        <f>85+50*LOG10(6/M47)</f>
        <v>85</v>
      </c>
      <c r="P47" s="8">
        <f t="shared" si="7"/>
        <v>85</v>
      </c>
      <c r="Q47" s="8">
        <f t="shared" si="6"/>
        <v>0</v>
      </c>
      <c r="S47">
        <f t="shared" si="1"/>
        <v>0</v>
      </c>
    </row>
    <row r="48" spans="1:19" x14ac:dyDescent="0.25">
      <c r="A48" s="3">
        <v>47</v>
      </c>
      <c r="B48" s="14">
        <v>1029532</v>
      </c>
      <c r="C48" s="3">
        <v>58</v>
      </c>
      <c r="D48" s="3" t="s">
        <v>46</v>
      </c>
      <c r="E48" s="15">
        <v>45465</v>
      </c>
      <c r="F48" s="6">
        <v>45982</v>
      </c>
      <c r="G48" s="4" t="s">
        <v>20</v>
      </c>
      <c r="H48" s="3" t="s">
        <v>18</v>
      </c>
      <c r="I48" s="3">
        <v>1</v>
      </c>
      <c r="J48" s="3">
        <v>1</v>
      </c>
      <c r="K48" s="3">
        <v>2</v>
      </c>
      <c r="L48" s="3">
        <v>11</v>
      </c>
      <c r="M48" s="3">
        <v>18</v>
      </c>
      <c r="N48" s="3">
        <v>9</v>
      </c>
      <c r="O48" s="8">
        <f>85+50*LOG10(6/M48)</f>
        <v>61.143937264016877</v>
      </c>
      <c r="P48" s="8">
        <f t="shared" si="7"/>
        <v>76.195437047215933</v>
      </c>
      <c r="Q48" s="8">
        <f t="shared" si="6"/>
        <v>15.051499783199056</v>
      </c>
      <c r="S48">
        <f t="shared" si="1"/>
        <v>0</v>
      </c>
    </row>
    <row r="49" spans="1:19" x14ac:dyDescent="0.25">
      <c r="A49" s="3">
        <v>48</v>
      </c>
      <c r="B49" s="14">
        <v>1025212</v>
      </c>
      <c r="C49" s="3">
        <v>51</v>
      </c>
      <c r="D49" s="3" t="s">
        <v>46</v>
      </c>
      <c r="E49" s="15">
        <v>45740</v>
      </c>
      <c r="F49" s="6">
        <v>46008</v>
      </c>
      <c r="G49" s="4" t="s">
        <v>20</v>
      </c>
      <c r="H49" s="3" t="s">
        <v>18</v>
      </c>
      <c r="I49" s="3">
        <v>1</v>
      </c>
      <c r="J49" s="3">
        <v>1</v>
      </c>
      <c r="K49" s="3">
        <v>2</v>
      </c>
      <c r="L49" s="3">
        <v>13</v>
      </c>
      <c r="M49" s="3">
        <v>300</v>
      </c>
      <c r="N49" s="3">
        <v>12</v>
      </c>
      <c r="O49" s="8">
        <f>85+50*LOG10(6/M49)</f>
        <v>5.1499783199062676E-2</v>
      </c>
      <c r="P49" s="8">
        <f t="shared" si="7"/>
        <v>69.948500216800937</v>
      </c>
      <c r="Q49" s="8">
        <f t="shared" si="6"/>
        <v>69.897000433601875</v>
      </c>
      <c r="S49">
        <f t="shared" si="1"/>
        <v>0</v>
      </c>
    </row>
    <row r="50" spans="1:19" x14ac:dyDescent="0.25">
      <c r="A50" s="3">
        <v>49</v>
      </c>
      <c r="B50" s="14" t="s">
        <v>53</v>
      </c>
      <c r="C50" s="3">
        <v>65</v>
      </c>
      <c r="D50" s="3" t="s">
        <v>46</v>
      </c>
      <c r="E50" s="15">
        <v>45660</v>
      </c>
      <c r="F50" s="6">
        <v>45974</v>
      </c>
      <c r="G50" s="4" t="s">
        <v>20</v>
      </c>
      <c r="H50" s="3" t="s">
        <v>18</v>
      </c>
      <c r="I50" s="3">
        <v>3</v>
      </c>
      <c r="J50" s="3">
        <v>1</v>
      </c>
      <c r="K50" s="3">
        <v>4</v>
      </c>
      <c r="L50" s="3">
        <v>24</v>
      </c>
      <c r="M50" s="3">
        <v>18</v>
      </c>
      <c r="N50" s="3">
        <v>9</v>
      </c>
      <c r="O50" s="8">
        <f>85+50*LOG10(6/M50)</f>
        <v>61.143937264016877</v>
      </c>
      <c r="P50" s="8">
        <f t="shared" si="7"/>
        <v>76.195437047215933</v>
      </c>
      <c r="Q50" s="8">
        <f t="shared" si="6"/>
        <v>15.051499783199056</v>
      </c>
      <c r="S50">
        <f t="shared" si="1"/>
        <v>0</v>
      </c>
    </row>
    <row r="51" spans="1:19" x14ac:dyDescent="0.25">
      <c r="A51" s="3">
        <v>50</v>
      </c>
      <c r="B51" s="14">
        <v>1045493</v>
      </c>
      <c r="C51" s="3">
        <v>52</v>
      </c>
      <c r="D51" s="3" t="s">
        <v>46</v>
      </c>
      <c r="E51" s="15">
        <v>45769</v>
      </c>
      <c r="F51" s="6">
        <v>45892</v>
      </c>
      <c r="G51" s="4" t="s">
        <v>20</v>
      </c>
      <c r="H51" s="3" t="s">
        <v>22</v>
      </c>
      <c r="I51" s="3">
        <v>1</v>
      </c>
      <c r="J51" s="3">
        <v>1</v>
      </c>
      <c r="K51" s="3">
        <v>2</v>
      </c>
      <c r="L51" s="3">
        <v>16</v>
      </c>
      <c r="M51" s="3">
        <v>180</v>
      </c>
      <c r="N51" s="3">
        <v>9</v>
      </c>
      <c r="O51" s="8">
        <f>85+50*LOG10(6/M51)</f>
        <v>11.143937264016884</v>
      </c>
      <c r="P51" s="8">
        <f t="shared" si="7"/>
        <v>76.195437047215933</v>
      </c>
      <c r="Q51" s="8">
        <f t="shared" si="6"/>
        <v>65.051499783199048</v>
      </c>
      <c r="S51">
        <f t="shared" si="1"/>
        <v>0</v>
      </c>
    </row>
    <row r="52" spans="1:19" x14ac:dyDescent="0.25">
      <c r="A52" s="3">
        <v>51</v>
      </c>
      <c r="B52" s="14">
        <v>548777</v>
      </c>
      <c r="C52" s="3">
        <v>60</v>
      </c>
      <c r="D52" s="3" t="s">
        <v>47</v>
      </c>
      <c r="E52" s="15">
        <v>45777</v>
      </c>
      <c r="F52" s="6">
        <v>46027</v>
      </c>
      <c r="G52" s="4" t="s">
        <v>20</v>
      </c>
      <c r="H52" s="3" t="s">
        <v>18</v>
      </c>
      <c r="I52" s="3">
        <v>1</v>
      </c>
      <c r="J52" s="3">
        <v>3</v>
      </c>
      <c r="K52" s="3">
        <v>4</v>
      </c>
      <c r="L52" s="3">
        <v>30</v>
      </c>
      <c r="M52" s="3" t="s">
        <v>23</v>
      </c>
      <c r="N52" s="3">
        <v>18</v>
      </c>
      <c r="O52" s="8">
        <v>0</v>
      </c>
      <c r="P52" s="8">
        <f t="shared" si="7"/>
        <v>61.143937264016877</v>
      </c>
      <c r="Q52" s="8">
        <f t="shared" si="6"/>
        <v>61.143937264016877</v>
      </c>
      <c r="S52">
        <f t="shared" si="1"/>
        <v>0</v>
      </c>
    </row>
    <row r="53" spans="1:19" x14ac:dyDescent="0.25">
      <c r="A53" s="3">
        <v>52</v>
      </c>
      <c r="B53" s="14">
        <v>548777</v>
      </c>
      <c r="C53" s="3">
        <v>60</v>
      </c>
      <c r="D53" s="3" t="s">
        <v>47</v>
      </c>
      <c r="E53" s="15">
        <v>45777</v>
      </c>
      <c r="F53" s="6">
        <v>46027</v>
      </c>
      <c r="G53" s="4" t="s">
        <v>20</v>
      </c>
      <c r="H53" s="3" t="s">
        <v>22</v>
      </c>
      <c r="I53" s="3">
        <v>1</v>
      </c>
      <c r="J53" s="3">
        <v>1</v>
      </c>
      <c r="K53" s="3">
        <v>2</v>
      </c>
      <c r="L53" s="3">
        <v>30</v>
      </c>
      <c r="M53" s="3">
        <v>36</v>
      </c>
      <c r="N53" s="3">
        <v>12</v>
      </c>
      <c r="O53" s="8">
        <f t="shared" ref="O53:O61" si="8">85+50*LOG10(6/M53)</f>
        <v>46.092437480817821</v>
      </c>
      <c r="P53" s="8">
        <f t="shared" si="7"/>
        <v>69.948500216800937</v>
      </c>
      <c r="Q53" s="8">
        <f t="shared" si="6"/>
        <v>23.856062735983116</v>
      </c>
      <c r="S53">
        <f t="shared" si="1"/>
        <v>0</v>
      </c>
    </row>
    <row r="54" spans="1:19" x14ac:dyDescent="0.25">
      <c r="A54" s="3">
        <v>53</v>
      </c>
      <c r="B54" s="14">
        <v>125906</v>
      </c>
      <c r="C54" s="3">
        <v>45</v>
      </c>
      <c r="D54" s="3" t="s">
        <v>46</v>
      </c>
      <c r="E54" s="15">
        <v>45778</v>
      </c>
      <c r="F54" s="6">
        <v>45869</v>
      </c>
      <c r="G54" s="4" t="s">
        <v>20</v>
      </c>
      <c r="H54" s="3" t="s">
        <v>22</v>
      </c>
      <c r="I54" s="3">
        <v>2</v>
      </c>
      <c r="J54" s="3">
        <v>1</v>
      </c>
      <c r="K54" s="3">
        <v>3</v>
      </c>
      <c r="L54" s="3">
        <v>11</v>
      </c>
      <c r="M54" s="3">
        <v>180</v>
      </c>
      <c r="N54" s="3">
        <v>36</v>
      </c>
      <c r="O54" s="8">
        <f t="shared" si="8"/>
        <v>11.143937264016884</v>
      </c>
      <c r="P54" s="8">
        <f t="shared" si="7"/>
        <v>46.092437480817821</v>
      </c>
      <c r="Q54" s="8">
        <f t="shared" si="6"/>
        <v>34.948500216800937</v>
      </c>
      <c r="S54">
        <f t="shared" si="1"/>
        <v>0</v>
      </c>
    </row>
    <row r="55" spans="1:19" x14ac:dyDescent="0.25">
      <c r="A55" s="3">
        <v>54</v>
      </c>
      <c r="B55" s="14">
        <v>3070701</v>
      </c>
      <c r="C55" s="3">
        <v>50</v>
      </c>
      <c r="D55" s="3" t="s">
        <v>46</v>
      </c>
      <c r="E55" s="15">
        <v>45798</v>
      </c>
      <c r="F55" s="6">
        <v>45926</v>
      </c>
      <c r="G55" s="4" t="s">
        <v>20</v>
      </c>
      <c r="H55" s="3" t="s">
        <v>22</v>
      </c>
      <c r="I55" s="3">
        <v>1</v>
      </c>
      <c r="J55" s="3">
        <v>1</v>
      </c>
      <c r="K55" s="3">
        <v>2</v>
      </c>
      <c r="L55" s="3">
        <v>15</v>
      </c>
      <c r="M55" s="3">
        <v>300</v>
      </c>
      <c r="N55" s="3">
        <v>180</v>
      </c>
      <c r="O55" s="8">
        <f t="shared" si="8"/>
        <v>5.1499783199062676E-2</v>
      </c>
      <c r="P55" s="8">
        <f t="shared" si="7"/>
        <v>11.143937264016884</v>
      </c>
      <c r="Q55" s="8">
        <f t="shared" si="6"/>
        <v>11.092437480817821</v>
      </c>
      <c r="S55">
        <f t="shared" si="1"/>
        <v>0</v>
      </c>
    </row>
    <row r="56" spans="1:19" x14ac:dyDescent="0.25">
      <c r="A56" s="3">
        <v>55</v>
      </c>
      <c r="B56" s="14">
        <v>3083531</v>
      </c>
      <c r="C56" s="3">
        <v>60</v>
      </c>
      <c r="D56" s="3" t="s">
        <v>46</v>
      </c>
      <c r="E56" s="15">
        <v>45801</v>
      </c>
      <c r="F56" s="6">
        <v>46021</v>
      </c>
      <c r="G56" s="4" t="s">
        <v>20</v>
      </c>
      <c r="H56" s="3" t="s">
        <v>18</v>
      </c>
      <c r="I56" s="3">
        <v>2</v>
      </c>
      <c r="J56" s="3">
        <v>1</v>
      </c>
      <c r="K56" s="3">
        <v>3</v>
      </c>
      <c r="L56" s="3">
        <v>33</v>
      </c>
      <c r="M56" s="3">
        <v>120</v>
      </c>
      <c r="N56" s="3">
        <v>18</v>
      </c>
      <c r="O56" s="8">
        <f t="shared" si="8"/>
        <v>19.948500216800937</v>
      </c>
      <c r="P56" s="8">
        <f t="shared" si="7"/>
        <v>61.143937264016877</v>
      </c>
      <c r="Q56" s="8">
        <f t="shared" si="6"/>
        <v>41.19543704721594</v>
      </c>
      <c r="S56">
        <f t="shared" si="1"/>
        <v>0</v>
      </c>
    </row>
    <row r="57" spans="1:19" x14ac:dyDescent="0.25">
      <c r="A57" s="3">
        <v>56</v>
      </c>
      <c r="B57" s="14">
        <v>3083531</v>
      </c>
      <c r="C57" s="3">
        <v>60</v>
      </c>
      <c r="D57" s="3" t="s">
        <v>46</v>
      </c>
      <c r="E57" s="15">
        <v>45801</v>
      </c>
      <c r="F57" s="6">
        <v>46021</v>
      </c>
      <c r="G57" s="4" t="s">
        <v>20</v>
      </c>
      <c r="H57" s="3" t="s">
        <v>22</v>
      </c>
      <c r="I57" s="3">
        <v>2</v>
      </c>
      <c r="J57" s="3">
        <v>1</v>
      </c>
      <c r="K57" s="3">
        <v>3</v>
      </c>
      <c r="L57" s="3">
        <v>33</v>
      </c>
      <c r="M57" s="3">
        <v>24</v>
      </c>
      <c r="N57" s="3">
        <v>7.5</v>
      </c>
      <c r="O57" s="8">
        <f t="shared" si="8"/>
        <v>54.897000433601882</v>
      </c>
      <c r="P57" s="8">
        <f t="shared" si="7"/>
        <v>80.154499349597174</v>
      </c>
      <c r="Q57" s="8">
        <f t="shared" si="6"/>
        <v>25.257498915995292</v>
      </c>
      <c r="S57">
        <f t="shared" si="1"/>
        <v>0</v>
      </c>
    </row>
    <row r="58" spans="1:19" s="36" customFormat="1" x14ac:dyDescent="0.25">
      <c r="A58" s="29">
        <v>57</v>
      </c>
      <c r="B58" s="42">
        <v>1028430</v>
      </c>
      <c r="C58" s="29">
        <v>53</v>
      </c>
      <c r="D58" s="29" t="s">
        <v>46</v>
      </c>
      <c r="E58" s="31">
        <v>45703</v>
      </c>
      <c r="F58" s="32">
        <v>45999</v>
      </c>
      <c r="G58" s="13" t="s">
        <v>20</v>
      </c>
      <c r="H58" s="29" t="s">
        <v>18</v>
      </c>
      <c r="I58" s="29">
        <v>2</v>
      </c>
      <c r="J58" s="29">
        <v>1</v>
      </c>
      <c r="K58" s="29">
        <v>3</v>
      </c>
      <c r="L58" s="29">
        <v>14</v>
      </c>
      <c r="M58" s="29">
        <v>24</v>
      </c>
      <c r="N58" s="29" t="s">
        <v>23</v>
      </c>
      <c r="O58" s="35">
        <f t="shared" si="8"/>
        <v>54.897000433601882</v>
      </c>
      <c r="P58" s="35">
        <v>0</v>
      </c>
      <c r="Q58" s="35">
        <f t="shared" si="6"/>
        <v>-54.897000433601882</v>
      </c>
      <c r="S58" s="36">
        <f t="shared" si="1"/>
        <v>1</v>
      </c>
    </row>
    <row r="59" spans="1:19" x14ac:dyDescent="0.25">
      <c r="A59" s="3">
        <v>58</v>
      </c>
      <c r="B59" s="14">
        <v>4005397</v>
      </c>
      <c r="C59" s="3">
        <v>51</v>
      </c>
      <c r="D59" s="3" t="s">
        <v>46</v>
      </c>
      <c r="E59" s="15">
        <v>45770</v>
      </c>
      <c r="F59" s="6">
        <v>46009</v>
      </c>
      <c r="G59" s="4" t="s">
        <v>20</v>
      </c>
      <c r="H59" s="3" t="s">
        <v>18</v>
      </c>
      <c r="I59" s="3">
        <v>1</v>
      </c>
      <c r="J59" s="3">
        <v>1</v>
      </c>
      <c r="K59" s="3">
        <v>2</v>
      </c>
      <c r="L59" s="3">
        <v>14</v>
      </c>
      <c r="M59" s="3">
        <v>300</v>
      </c>
      <c r="N59" s="3">
        <v>36</v>
      </c>
      <c r="O59" s="8">
        <f t="shared" si="8"/>
        <v>5.1499783199062676E-2</v>
      </c>
      <c r="P59" s="8">
        <f t="shared" ref="P59:P66" si="9">85+50*LOG10(6/N59)</f>
        <v>46.092437480817821</v>
      </c>
      <c r="Q59" s="8">
        <f t="shared" si="6"/>
        <v>46.040937697618759</v>
      </c>
      <c r="S59">
        <f t="shared" si="1"/>
        <v>0</v>
      </c>
    </row>
    <row r="60" spans="1:19" x14ac:dyDescent="0.25">
      <c r="A60" s="3">
        <v>59</v>
      </c>
      <c r="B60" s="14">
        <v>476331</v>
      </c>
      <c r="C60" s="3">
        <v>56</v>
      </c>
      <c r="D60" s="3" t="s">
        <v>46</v>
      </c>
      <c r="E60" s="15">
        <v>45779</v>
      </c>
      <c r="F60" s="6">
        <v>45863</v>
      </c>
      <c r="G60" s="4" t="s">
        <v>20</v>
      </c>
      <c r="H60" s="3" t="s">
        <v>22</v>
      </c>
      <c r="I60" s="3">
        <v>1</v>
      </c>
      <c r="J60" s="3">
        <v>1</v>
      </c>
      <c r="K60" s="3">
        <v>2</v>
      </c>
      <c r="L60" s="3">
        <v>5</v>
      </c>
      <c r="M60" s="3">
        <v>180</v>
      </c>
      <c r="N60" s="3">
        <v>9</v>
      </c>
      <c r="O60" s="8">
        <f t="shared" si="8"/>
        <v>11.143937264016884</v>
      </c>
      <c r="P60" s="8">
        <f t="shared" si="9"/>
        <v>76.195437047215933</v>
      </c>
      <c r="Q60" s="8">
        <f t="shared" si="6"/>
        <v>65.051499783199048</v>
      </c>
      <c r="S60">
        <f t="shared" si="1"/>
        <v>0</v>
      </c>
    </row>
    <row r="61" spans="1:19" x14ac:dyDescent="0.25">
      <c r="A61" s="3">
        <v>60</v>
      </c>
      <c r="B61" s="14">
        <v>1043586</v>
      </c>
      <c r="C61" s="3">
        <v>49</v>
      </c>
      <c r="D61" s="3" t="s">
        <v>46</v>
      </c>
      <c r="E61" s="15">
        <v>45780</v>
      </c>
      <c r="F61" s="6">
        <v>46006</v>
      </c>
      <c r="G61" s="4" t="s">
        <v>20</v>
      </c>
      <c r="H61" s="3" t="s">
        <v>22</v>
      </c>
      <c r="I61" s="3">
        <v>1</v>
      </c>
      <c r="J61" s="3">
        <v>1</v>
      </c>
      <c r="K61" s="3">
        <v>2</v>
      </c>
      <c r="L61" s="3">
        <v>24</v>
      </c>
      <c r="M61" s="3">
        <v>60</v>
      </c>
      <c r="N61" s="3">
        <v>6</v>
      </c>
      <c r="O61" s="8">
        <f t="shared" si="8"/>
        <v>35</v>
      </c>
      <c r="P61" s="8">
        <f t="shared" si="9"/>
        <v>85</v>
      </c>
      <c r="Q61" s="8">
        <f t="shared" si="6"/>
        <v>50</v>
      </c>
      <c r="S61">
        <f t="shared" si="1"/>
        <v>0</v>
      </c>
    </row>
    <row r="62" spans="1:19" x14ac:dyDescent="0.25">
      <c r="A62" s="3">
        <v>61</v>
      </c>
      <c r="B62" s="14" t="s">
        <v>58</v>
      </c>
      <c r="C62" s="3">
        <v>65</v>
      </c>
      <c r="D62" s="3" t="s">
        <v>46</v>
      </c>
      <c r="E62" s="15">
        <v>56772</v>
      </c>
      <c r="F62" s="6">
        <v>45973</v>
      </c>
      <c r="G62" s="4" t="s">
        <v>20</v>
      </c>
      <c r="H62" s="3" t="s">
        <v>18</v>
      </c>
      <c r="I62" s="3">
        <v>2</v>
      </c>
      <c r="J62" s="3">
        <v>2</v>
      </c>
      <c r="K62" s="3">
        <v>4</v>
      </c>
      <c r="L62" s="3">
        <v>24</v>
      </c>
      <c r="M62" s="3">
        <v>18</v>
      </c>
      <c r="N62" s="3">
        <v>9</v>
      </c>
      <c r="O62" s="8">
        <f>85+50*LOG10(6/L62)</f>
        <v>54.897000433601882</v>
      </c>
      <c r="P62" s="8">
        <f t="shared" si="9"/>
        <v>76.195437047215933</v>
      </c>
      <c r="Q62" s="8">
        <f t="shared" si="6"/>
        <v>21.298436613614051</v>
      </c>
      <c r="S62">
        <f t="shared" si="1"/>
        <v>0</v>
      </c>
    </row>
    <row r="63" spans="1:19" x14ac:dyDescent="0.25">
      <c r="A63" s="3">
        <v>62</v>
      </c>
      <c r="B63" s="14">
        <v>1047076</v>
      </c>
      <c r="C63" s="3">
        <v>58</v>
      </c>
      <c r="D63" s="3" t="s">
        <v>47</v>
      </c>
      <c r="E63" s="15">
        <v>45814</v>
      </c>
      <c r="F63" s="6">
        <v>45875</v>
      </c>
      <c r="G63" s="4" t="s">
        <v>20</v>
      </c>
      <c r="H63" s="3" t="s">
        <v>18</v>
      </c>
      <c r="I63" s="3">
        <v>1</v>
      </c>
      <c r="J63" s="3">
        <v>1</v>
      </c>
      <c r="K63" s="3">
        <v>2</v>
      </c>
      <c r="L63" s="3">
        <v>13</v>
      </c>
      <c r="M63" s="3">
        <v>300</v>
      </c>
      <c r="N63" s="3">
        <v>12</v>
      </c>
      <c r="O63" s="8">
        <f>85+50*LOG10(6/M63)</f>
        <v>5.1499783199062676E-2</v>
      </c>
      <c r="P63" s="8">
        <f t="shared" si="9"/>
        <v>69.948500216800937</v>
      </c>
      <c r="Q63" s="8">
        <f t="shared" si="6"/>
        <v>69.897000433601875</v>
      </c>
      <c r="S63">
        <f t="shared" si="1"/>
        <v>0</v>
      </c>
    </row>
    <row r="64" spans="1:19" x14ac:dyDescent="0.25">
      <c r="A64" s="3">
        <v>63</v>
      </c>
      <c r="B64" s="14">
        <v>4007009</v>
      </c>
      <c r="C64" s="3">
        <v>53</v>
      </c>
      <c r="D64" s="3" t="s">
        <v>47</v>
      </c>
      <c r="E64" s="15">
        <v>45835</v>
      </c>
      <c r="F64" s="6">
        <v>46017</v>
      </c>
      <c r="G64" s="4" t="s">
        <v>20</v>
      </c>
      <c r="H64" s="3" t="s">
        <v>18</v>
      </c>
      <c r="I64" s="3">
        <v>1</v>
      </c>
      <c r="J64" s="3">
        <v>2</v>
      </c>
      <c r="K64" s="3">
        <v>3</v>
      </c>
      <c r="L64" s="3">
        <v>14</v>
      </c>
      <c r="M64" s="3" t="s">
        <v>23</v>
      </c>
      <c r="N64" s="3">
        <v>12</v>
      </c>
      <c r="O64" s="8">
        <v>0</v>
      </c>
      <c r="P64" s="8">
        <f t="shared" si="9"/>
        <v>69.948500216800937</v>
      </c>
      <c r="Q64" s="8">
        <f t="shared" si="6"/>
        <v>69.948500216800937</v>
      </c>
      <c r="S64">
        <f t="shared" si="1"/>
        <v>0</v>
      </c>
    </row>
    <row r="65" spans="1:19" x14ac:dyDescent="0.25">
      <c r="A65" s="3">
        <v>64</v>
      </c>
      <c r="B65" s="14">
        <v>423871</v>
      </c>
      <c r="C65" s="3">
        <v>50</v>
      </c>
      <c r="D65" s="3" t="s">
        <v>47</v>
      </c>
      <c r="E65" s="15">
        <v>45819</v>
      </c>
      <c r="F65" s="6">
        <v>45863</v>
      </c>
      <c r="G65" s="4" t="s">
        <v>20</v>
      </c>
      <c r="H65" s="3" t="s">
        <v>22</v>
      </c>
      <c r="I65" s="3">
        <v>1</v>
      </c>
      <c r="J65" s="3">
        <v>1</v>
      </c>
      <c r="K65" s="3">
        <v>2</v>
      </c>
      <c r="L65" s="3">
        <v>9</v>
      </c>
      <c r="M65" s="3">
        <v>300</v>
      </c>
      <c r="N65" s="3">
        <v>24</v>
      </c>
      <c r="O65" s="8">
        <f>85+50*LOG10(6/M65)</f>
        <v>5.1499783199062676E-2</v>
      </c>
      <c r="P65" s="8">
        <f t="shared" si="9"/>
        <v>54.897000433601882</v>
      </c>
      <c r="Q65" s="8">
        <f t="shared" si="6"/>
        <v>54.845500650402819</v>
      </c>
      <c r="S65">
        <f t="shared" si="1"/>
        <v>0</v>
      </c>
    </row>
    <row r="66" spans="1:19" x14ac:dyDescent="0.25">
      <c r="A66" s="3">
        <v>65</v>
      </c>
      <c r="B66" s="14">
        <v>1025316</v>
      </c>
      <c r="C66" s="14">
        <v>56</v>
      </c>
      <c r="D66" s="3" t="s">
        <v>46</v>
      </c>
      <c r="E66" s="15">
        <v>45831</v>
      </c>
      <c r="F66" s="6">
        <v>46022</v>
      </c>
      <c r="G66" s="4" t="s">
        <v>20</v>
      </c>
      <c r="H66" s="3" t="s">
        <v>22</v>
      </c>
      <c r="I66" s="3">
        <v>1</v>
      </c>
      <c r="J66" s="3">
        <v>1</v>
      </c>
      <c r="K66" s="3">
        <v>2</v>
      </c>
      <c r="L66" s="3">
        <v>12</v>
      </c>
      <c r="M66" s="3">
        <v>180</v>
      </c>
      <c r="N66" s="3">
        <v>60</v>
      </c>
      <c r="O66" s="8">
        <f>85+50*LOG10(6/M66)</f>
        <v>11.143937264016884</v>
      </c>
      <c r="P66" s="8">
        <f t="shared" si="9"/>
        <v>35</v>
      </c>
      <c r="Q66" s="8">
        <f t="shared" ref="Q66:Q82" si="10">P66-O66</f>
        <v>23.856062735983116</v>
      </c>
      <c r="S66">
        <f t="shared" si="1"/>
        <v>0</v>
      </c>
    </row>
    <row r="67" spans="1:19" x14ac:dyDescent="0.25">
      <c r="A67" s="3">
        <v>66</v>
      </c>
      <c r="B67" s="14">
        <v>1048101</v>
      </c>
      <c r="C67" s="14">
        <v>67</v>
      </c>
      <c r="D67" s="3" t="s">
        <v>46</v>
      </c>
      <c r="E67" s="15">
        <v>45840</v>
      </c>
      <c r="F67" s="6">
        <v>45995</v>
      </c>
      <c r="G67" s="4" t="s">
        <v>20</v>
      </c>
      <c r="H67" s="3" t="s">
        <v>18</v>
      </c>
      <c r="I67" s="3">
        <v>1</v>
      </c>
      <c r="J67" s="3">
        <v>1</v>
      </c>
      <c r="K67" s="3">
        <v>2</v>
      </c>
      <c r="L67" s="3">
        <v>23</v>
      </c>
      <c r="M67" s="3" t="s">
        <v>23</v>
      </c>
      <c r="N67" s="3" t="s">
        <v>29</v>
      </c>
      <c r="O67" s="8">
        <v>0</v>
      </c>
      <c r="P67" s="8">
        <v>0</v>
      </c>
      <c r="Q67" s="8">
        <f t="shared" si="10"/>
        <v>0</v>
      </c>
      <c r="S67">
        <f t="shared" ref="S67:S82" si="11">COUNTIF(Q67,"&lt;0")</f>
        <v>0</v>
      </c>
    </row>
    <row r="68" spans="1:19" s="36" customFormat="1" x14ac:dyDescent="0.25">
      <c r="A68" s="29">
        <v>67</v>
      </c>
      <c r="B68" s="42">
        <v>1048101</v>
      </c>
      <c r="C68" s="42">
        <v>67</v>
      </c>
      <c r="D68" s="29" t="s">
        <v>46</v>
      </c>
      <c r="E68" s="31">
        <v>45840</v>
      </c>
      <c r="F68" s="32">
        <v>45995</v>
      </c>
      <c r="G68" s="13" t="s">
        <v>20</v>
      </c>
      <c r="H68" s="29" t="s">
        <v>22</v>
      </c>
      <c r="I68" s="29">
        <v>2</v>
      </c>
      <c r="J68" s="29">
        <v>1</v>
      </c>
      <c r="K68" s="29">
        <v>3</v>
      </c>
      <c r="L68" s="29">
        <v>23</v>
      </c>
      <c r="M68" s="29">
        <v>180</v>
      </c>
      <c r="N68" s="29" t="s">
        <v>23</v>
      </c>
      <c r="O68" s="35">
        <f>85+50*LOG10(6/M68)</f>
        <v>11.143937264016884</v>
      </c>
      <c r="P68" s="35">
        <v>0</v>
      </c>
      <c r="Q68" s="35">
        <f t="shared" si="10"/>
        <v>-11.143937264016884</v>
      </c>
      <c r="S68" s="36">
        <f t="shared" si="11"/>
        <v>1</v>
      </c>
    </row>
    <row r="69" spans="1:19" x14ac:dyDescent="0.25">
      <c r="A69" s="3">
        <v>68</v>
      </c>
      <c r="B69" s="14">
        <v>810840</v>
      </c>
      <c r="C69" s="14">
        <v>48</v>
      </c>
      <c r="D69" s="3" t="s">
        <v>47</v>
      </c>
      <c r="E69" s="15">
        <v>45814</v>
      </c>
      <c r="F69" s="6">
        <v>45999</v>
      </c>
      <c r="G69" s="4" t="s">
        <v>20</v>
      </c>
      <c r="H69" s="3" t="s">
        <v>22</v>
      </c>
      <c r="I69" s="3">
        <v>2</v>
      </c>
      <c r="J69" s="3">
        <v>2</v>
      </c>
      <c r="K69" s="3">
        <v>4</v>
      </c>
      <c r="L69" s="3">
        <v>17</v>
      </c>
      <c r="M69" s="3">
        <v>12</v>
      </c>
      <c r="N69" s="3">
        <v>12</v>
      </c>
      <c r="O69" s="8">
        <f>85+50*LOG10(6/M69)</f>
        <v>69.948500216800937</v>
      </c>
      <c r="P69" s="8">
        <f t="shared" ref="P69:P74" si="12">85+50*LOG10(6/N69)</f>
        <v>69.948500216800937</v>
      </c>
      <c r="Q69" s="8">
        <f t="shared" si="10"/>
        <v>0</v>
      </c>
      <c r="S69">
        <f t="shared" si="11"/>
        <v>0</v>
      </c>
    </row>
    <row r="70" spans="1:19" x14ac:dyDescent="0.25">
      <c r="A70" s="3">
        <v>69</v>
      </c>
      <c r="B70" s="14">
        <v>906194</v>
      </c>
      <c r="C70" s="14">
        <v>58</v>
      </c>
      <c r="D70" s="3" t="s">
        <v>46</v>
      </c>
      <c r="E70" s="15">
        <v>45828</v>
      </c>
      <c r="F70" s="6">
        <v>45910</v>
      </c>
      <c r="G70" s="4" t="s">
        <v>20</v>
      </c>
      <c r="H70" s="3" t="s">
        <v>22</v>
      </c>
      <c r="I70" s="3">
        <v>1</v>
      </c>
      <c r="J70" s="3">
        <v>1</v>
      </c>
      <c r="K70" s="3">
        <v>2</v>
      </c>
      <c r="L70" s="3">
        <v>7</v>
      </c>
      <c r="M70" s="3" t="s">
        <v>39</v>
      </c>
      <c r="N70" s="3">
        <v>300</v>
      </c>
      <c r="O70" s="8">
        <v>0</v>
      </c>
      <c r="P70" s="16">
        <f t="shared" si="12"/>
        <v>5.1499783199062676E-2</v>
      </c>
      <c r="Q70" s="8">
        <f t="shared" si="10"/>
        <v>5.1499783199062676E-2</v>
      </c>
      <c r="S70">
        <f t="shared" si="11"/>
        <v>0</v>
      </c>
    </row>
    <row r="71" spans="1:19" x14ac:dyDescent="0.25">
      <c r="A71" s="3">
        <v>70</v>
      </c>
      <c r="B71" s="14">
        <v>1045567</v>
      </c>
      <c r="C71" s="14">
        <v>69</v>
      </c>
      <c r="D71" s="3" t="s">
        <v>46</v>
      </c>
      <c r="E71" s="15">
        <v>45771</v>
      </c>
      <c r="F71" s="6">
        <v>45925</v>
      </c>
      <c r="G71" s="4" t="s">
        <v>20</v>
      </c>
      <c r="H71" s="3" t="s">
        <v>18</v>
      </c>
      <c r="I71" s="3">
        <v>1</v>
      </c>
      <c r="J71" s="3">
        <v>1</v>
      </c>
      <c r="K71" s="3">
        <v>2</v>
      </c>
      <c r="L71" s="3">
        <v>9</v>
      </c>
      <c r="M71" s="3">
        <v>36</v>
      </c>
      <c r="N71" s="3">
        <v>24</v>
      </c>
      <c r="O71" s="8">
        <f>85+50*LOG10(6/M71)</f>
        <v>46.092437480817821</v>
      </c>
      <c r="P71" s="16">
        <f t="shared" si="12"/>
        <v>54.897000433601882</v>
      </c>
      <c r="Q71" s="8">
        <f t="shared" si="10"/>
        <v>8.8045629527840603</v>
      </c>
      <c r="S71">
        <f t="shared" si="11"/>
        <v>0</v>
      </c>
    </row>
    <row r="72" spans="1:19" x14ac:dyDescent="0.25">
      <c r="A72" s="3">
        <v>71</v>
      </c>
      <c r="B72" s="14">
        <v>1041285</v>
      </c>
      <c r="C72" s="3">
        <v>57</v>
      </c>
      <c r="D72" s="3" t="s">
        <v>47</v>
      </c>
      <c r="E72" s="15">
        <v>45661</v>
      </c>
      <c r="F72" s="6">
        <v>45969</v>
      </c>
      <c r="G72" s="3" t="s">
        <v>20</v>
      </c>
      <c r="H72" s="3" t="s">
        <v>22</v>
      </c>
      <c r="I72" s="3">
        <v>1</v>
      </c>
      <c r="J72" s="3">
        <v>1</v>
      </c>
      <c r="K72" s="3">
        <v>2</v>
      </c>
      <c r="L72" s="3">
        <v>14</v>
      </c>
      <c r="M72" s="3">
        <v>24</v>
      </c>
      <c r="N72" s="3">
        <v>9</v>
      </c>
      <c r="O72" s="8">
        <f>85+50*LOG10(6/M72)</f>
        <v>54.897000433601882</v>
      </c>
      <c r="P72" s="16">
        <f t="shared" si="12"/>
        <v>76.195437047215933</v>
      </c>
      <c r="Q72" s="8">
        <f t="shared" si="10"/>
        <v>21.298436613614051</v>
      </c>
      <c r="S72">
        <f t="shared" si="11"/>
        <v>0</v>
      </c>
    </row>
    <row r="73" spans="1:19" x14ac:dyDescent="0.25">
      <c r="A73" s="3">
        <v>72</v>
      </c>
      <c r="B73" s="14">
        <v>151669</v>
      </c>
      <c r="C73" s="3">
        <v>54</v>
      </c>
      <c r="D73" s="3" t="s">
        <v>47</v>
      </c>
      <c r="E73" s="15">
        <v>45895</v>
      </c>
      <c r="F73" s="6">
        <v>46021</v>
      </c>
      <c r="G73" s="3" t="s">
        <v>20</v>
      </c>
      <c r="H73" s="3" t="s">
        <v>22</v>
      </c>
      <c r="I73" s="3">
        <v>1</v>
      </c>
      <c r="J73" s="3">
        <v>1</v>
      </c>
      <c r="K73" s="3">
        <v>2</v>
      </c>
      <c r="L73" s="3">
        <v>11</v>
      </c>
      <c r="M73" s="3">
        <v>240</v>
      </c>
      <c r="N73" s="3">
        <v>60</v>
      </c>
      <c r="O73" s="8">
        <f>85+50*LOG10(6/M73)</f>
        <v>4.8970004336018889</v>
      </c>
      <c r="P73" s="16">
        <f t="shared" si="12"/>
        <v>35</v>
      </c>
      <c r="Q73" s="8">
        <f t="shared" si="10"/>
        <v>30.102999566398111</v>
      </c>
      <c r="S73">
        <f t="shared" si="11"/>
        <v>0</v>
      </c>
    </row>
    <row r="74" spans="1:19" x14ac:dyDescent="0.25">
      <c r="A74" s="3">
        <v>73</v>
      </c>
      <c r="B74" s="14">
        <v>801523</v>
      </c>
      <c r="C74" s="3">
        <v>62</v>
      </c>
      <c r="D74" s="3" t="s">
        <v>47</v>
      </c>
      <c r="E74" s="15">
        <v>45912</v>
      </c>
      <c r="F74" s="6">
        <v>46020</v>
      </c>
      <c r="G74" s="3" t="s">
        <v>20</v>
      </c>
      <c r="H74" s="3" t="s">
        <v>18</v>
      </c>
      <c r="I74" s="3">
        <v>1</v>
      </c>
      <c r="J74" s="3">
        <v>1</v>
      </c>
      <c r="K74" s="3">
        <v>2</v>
      </c>
      <c r="L74" s="3">
        <v>10</v>
      </c>
      <c r="M74" s="3" t="s">
        <v>29</v>
      </c>
      <c r="N74" s="3">
        <v>18</v>
      </c>
      <c r="O74" s="8">
        <v>0</v>
      </c>
      <c r="P74" s="16">
        <f t="shared" si="12"/>
        <v>61.143937264016877</v>
      </c>
      <c r="Q74" s="8">
        <f t="shared" si="10"/>
        <v>61.143937264016877</v>
      </c>
      <c r="S74">
        <f t="shared" si="11"/>
        <v>0</v>
      </c>
    </row>
    <row r="75" spans="1:19" x14ac:dyDescent="0.25">
      <c r="A75" s="3">
        <v>74</v>
      </c>
      <c r="B75" s="14">
        <v>3087977</v>
      </c>
      <c r="C75" s="3">
        <v>58</v>
      </c>
      <c r="D75" s="3" t="s">
        <v>47</v>
      </c>
      <c r="E75" s="15">
        <v>45912</v>
      </c>
      <c r="F75" s="6">
        <v>45988</v>
      </c>
      <c r="G75" s="3" t="s">
        <v>20</v>
      </c>
      <c r="H75" s="3" t="s">
        <v>22</v>
      </c>
      <c r="I75" s="3">
        <v>1</v>
      </c>
      <c r="J75" s="3">
        <v>1</v>
      </c>
      <c r="K75" s="3">
        <v>2</v>
      </c>
      <c r="L75" s="3">
        <v>9</v>
      </c>
      <c r="M75" s="3">
        <v>300</v>
      </c>
      <c r="N75" s="3" t="s">
        <v>23</v>
      </c>
      <c r="O75" s="8">
        <f>85+50*LOG10(6/M75)</f>
        <v>5.1499783199062676E-2</v>
      </c>
      <c r="P75" s="16">
        <v>0</v>
      </c>
      <c r="Q75" s="8">
        <f t="shared" si="10"/>
        <v>-5.1499783199062676E-2</v>
      </c>
      <c r="S75">
        <f t="shared" si="11"/>
        <v>1</v>
      </c>
    </row>
    <row r="76" spans="1:19" x14ac:dyDescent="0.25">
      <c r="A76" s="3">
        <v>75</v>
      </c>
      <c r="B76" s="14" t="s">
        <v>67</v>
      </c>
      <c r="C76" s="3">
        <v>83</v>
      </c>
      <c r="D76" s="3" t="s">
        <v>46</v>
      </c>
      <c r="E76" s="15">
        <v>45944</v>
      </c>
      <c r="F76" s="6">
        <v>46029</v>
      </c>
      <c r="G76" s="3" t="s">
        <v>20</v>
      </c>
      <c r="H76" s="3" t="s">
        <v>22</v>
      </c>
      <c r="I76" s="3">
        <v>1</v>
      </c>
      <c r="J76" s="3">
        <v>1</v>
      </c>
      <c r="K76" s="3">
        <v>2</v>
      </c>
      <c r="L76" s="3">
        <v>10</v>
      </c>
      <c r="M76" s="3">
        <v>36</v>
      </c>
      <c r="N76" s="3">
        <v>12</v>
      </c>
      <c r="O76" s="8">
        <f>85+50*LOG10(6/M76)</f>
        <v>46.092437480817821</v>
      </c>
      <c r="P76" s="16">
        <f>85+50*LOG10(6/N76)</f>
        <v>69.948500216800937</v>
      </c>
      <c r="Q76" s="8">
        <f t="shared" si="10"/>
        <v>23.856062735983116</v>
      </c>
      <c r="S76">
        <f t="shared" si="11"/>
        <v>0</v>
      </c>
    </row>
    <row r="77" spans="1:19" x14ac:dyDescent="0.25">
      <c r="A77" s="3">
        <v>76</v>
      </c>
      <c r="B77" s="14">
        <v>449823</v>
      </c>
      <c r="C77" s="3">
        <v>68</v>
      </c>
      <c r="D77" s="3" t="s">
        <v>47</v>
      </c>
      <c r="E77" s="15">
        <v>45945</v>
      </c>
      <c r="F77" s="6">
        <v>46009</v>
      </c>
      <c r="G77" s="3" t="s">
        <v>20</v>
      </c>
      <c r="H77" s="3" t="s">
        <v>22</v>
      </c>
      <c r="I77" s="3">
        <v>1</v>
      </c>
      <c r="J77" s="3">
        <v>2</v>
      </c>
      <c r="K77" s="3">
        <f t="shared" ref="K77:K82" si="13">SUM(I:I+J:J)</f>
        <v>3</v>
      </c>
      <c r="L77" s="3">
        <v>19</v>
      </c>
      <c r="M77" s="3">
        <v>24</v>
      </c>
      <c r="N77" s="3">
        <v>18</v>
      </c>
      <c r="O77" s="8">
        <f>85+50*LOG10(6/M77)</f>
        <v>54.897000433601882</v>
      </c>
      <c r="P77" s="16">
        <f>85+50*LOG10(6/N77)</f>
        <v>61.143937264016877</v>
      </c>
      <c r="Q77" s="8">
        <f t="shared" si="10"/>
        <v>6.2469368304149953</v>
      </c>
      <c r="S77">
        <f t="shared" si="11"/>
        <v>0</v>
      </c>
    </row>
    <row r="78" spans="1:19" x14ac:dyDescent="0.25">
      <c r="A78" s="3">
        <v>77</v>
      </c>
      <c r="B78" s="14">
        <v>229553</v>
      </c>
      <c r="C78" s="3">
        <v>61</v>
      </c>
      <c r="D78" s="3" t="s">
        <v>46</v>
      </c>
      <c r="E78" s="15">
        <v>45982</v>
      </c>
      <c r="F78" s="6">
        <v>46018</v>
      </c>
      <c r="G78" s="3" t="s">
        <v>20</v>
      </c>
      <c r="H78" s="3" t="s">
        <v>18</v>
      </c>
      <c r="I78" s="3">
        <v>1</v>
      </c>
      <c r="J78" s="3">
        <v>1</v>
      </c>
      <c r="K78" s="3">
        <f t="shared" si="13"/>
        <v>2</v>
      </c>
      <c r="L78" s="3">
        <v>11</v>
      </c>
      <c r="M78" s="3" t="s">
        <v>21</v>
      </c>
      <c r="N78" s="3" t="s">
        <v>39</v>
      </c>
      <c r="O78" s="8">
        <v>0</v>
      </c>
      <c r="P78" s="16">
        <v>0</v>
      </c>
      <c r="Q78" s="8">
        <f t="shared" si="10"/>
        <v>0</v>
      </c>
      <c r="S78">
        <f t="shared" si="11"/>
        <v>0</v>
      </c>
    </row>
    <row r="79" spans="1:19" x14ac:dyDescent="0.25">
      <c r="A79" s="3">
        <v>78</v>
      </c>
      <c r="B79" s="14">
        <v>1052851</v>
      </c>
      <c r="C79" s="3">
        <v>60</v>
      </c>
      <c r="D79" s="3" t="s">
        <v>46</v>
      </c>
      <c r="E79" s="15">
        <v>45973</v>
      </c>
      <c r="F79" s="6">
        <v>46028</v>
      </c>
      <c r="G79" s="3" t="s">
        <v>20</v>
      </c>
      <c r="H79" s="3" t="s">
        <v>18</v>
      </c>
      <c r="I79" s="3">
        <v>1</v>
      </c>
      <c r="J79" s="3">
        <v>2</v>
      </c>
      <c r="K79" s="3">
        <f t="shared" si="13"/>
        <v>3</v>
      </c>
      <c r="L79" s="3">
        <v>11</v>
      </c>
      <c r="M79" s="3">
        <v>300</v>
      </c>
      <c r="N79" s="3">
        <v>60</v>
      </c>
      <c r="O79" s="8">
        <f>85+50*LOG10(6/M79)</f>
        <v>5.1499783199062676E-2</v>
      </c>
      <c r="P79" s="16">
        <f>85+50*LOG10(6/N79)</f>
        <v>35</v>
      </c>
      <c r="Q79" s="8">
        <f t="shared" si="10"/>
        <v>34.948500216800937</v>
      </c>
      <c r="S79">
        <f t="shared" si="11"/>
        <v>0</v>
      </c>
    </row>
    <row r="80" spans="1:19" x14ac:dyDescent="0.25">
      <c r="A80" s="3">
        <v>79</v>
      </c>
      <c r="B80" s="14">
        <v>269967</v>
      </c>
      <c r="C80" s="3">
        <v>59</v>
      </c>
      <c r="D80" s="3" t="s">
        <v>47</v>
      </c>
      <c r="E80" s="15">
        <v>45978</v>
      </c>
      <c r="F80" s="6">
        <v>46021</v>
      </c>
      <c r="G80" s="3" t="s">
        <v>20</v>
      </c>
      <c r="H80" s="3" t="s">
        <v>18</v>
      </c>
      <c r="I80" s="3">
        <v>1</v>
      </c>
      <c r="J80" s="3">
        <v>1</v>
      </c>
      <c r="K80" s="3">
        <f t="shared" si="13"/>
        <v>2</v>
      </c>
      <c r="L80" s="3">
        <v>7</v>
      </c>
      <c r="M80" s="3">
        <v>36</v>
      </c>
      <c r="N80" s="3">
        <v>9</v>
      </c>
      <c r="O80" s="8">
        <f>85+50*LOG10(6/M80)</f>
        <v>46.092437480817821</v>
      </c>
      <c r="P80" s="16">
        <f>85+50*LOG10(6/N80)</f>
        <v>76.195437047215933</v>
      </c>
      <c r="Q80" s="8">
        <f t="shared" si="10"/>
        <v>30.102999566398111</v>
      </c>
      <c r="S80">
        <f t="shared" si="11"/>
        <v>0</v>
      </c>
    </row>
    <row r="81" spans="1:19" x14ac:dyDescent="0.25">
      <c r="A81" s="3">
        <v>80</v>
      </c>
      <c r="B81" s="14">
        <v>1053877</v>
      </c>
      <c r="C81" s="3">
        <v>65</v>
      </c>
      <c r="D81" s="3" t="s">
        <v>47</v>
      </c>
      <c r="E81" s="15">
        <v>46002</v>
      </c>
      <c r="F81" s="6">
        <v>46029</v>
      </c>
      <c r="G81" s="3" t="s">
        <v>20</v>
      </c>
      <c r="H81" s="3" t="s">
        <v>18</v>
      </c>
      <c r="I81" s="3">
        <v>1</v>
      </c>
      <c r="J81" s="3">
        <v>1</v>
      </c>
      <c r="K81" s="3">
        <f t="shared" si="13"/>
        <v>2</v>
      </c>
      <c r="L81" s="3">
        <v>9</v>
      </c>
      <c r="M81" s="3" t="s">
        <v>29</v>
      </c>
      <c r="N81" s="3" t="s">
        <v>23</v>
      </c>
      <c r="O81" s="8">
        <v>0</v>
      </c>
      <c r="P81" s="16">
        <v>0</v>
      </c>
      <c r="Q81" s="8">
        <f t="shared" si="10"/>
        <v>0</v>
      </c>
      <c r="S81">
        <f t="shared" si="11"/>
        <v>0</v>
      </c>
    </row>
    <row r="82" spans="1:19" x14ac:dyDescent="0.25">
      <c r="A82" s="3">
        <v>81</v>
      </c>
      <c r="B82" s="14">
        <v>1053877</v>
      </c>
      <c r="C82" s="3">
        <v>65</v>
      </c>
      <c r="D82" s="3" t="s">
        <v>47</v>
      </c>
      <c r="E82" s="15">
        <v>46002</v>
      </c>
      <c r="F82" s="6">
        <v>46029</v>
      </c>
      <c r="G82" s="3" t="s">
        <v>20</v>
      </c>
      <c r="H82" s="3" t="s">
        <v>22</v>
      </c>
      <c r="I82" s="3">
        <v>1</v>
      </c>
      <c r="J82" s="3">
        <v>1</v>
      </c>
      <c r="K82" s="3">
        <f t="shared" si="13"/>
        <v>2</v>
      </c>
      <c r="L82" s="3">
        <v>9</v>
      </c>
      <c r="M82" s="3" t="s">
        <v>29</v>
      </c>
      <c r="N82" s="3">
        <v>180</v>
      </c>
      <c r="O82" s="8">
        <v>0</v>
      </c>
      <c r="P82" s="16">
        <f>85+50*LOG10(6/N82)</f>
        <v>11.143937264016884</v>
      </c>
      <c r="Q82" s="8">
        <f t="shared" si="10"/>
        <v>11.143937264016884</v>
      </c>
      <c r="S82">
        <f t="shared" si="11"/>
        <v>0</v>
      </c>
    </row>
    <row r="83" spans="1:19" x14ac:dyDescent="0.25">
      <c r="A83" s="3">
        <v>82</v>
      </c>
      <c r="B83" s="4">
        <v>1026703</v>
      </c>
      <c r="C83" s="4">
        <v>63</v>
      </c>
      <c r="D83" s="4" t="s">
        <v>17</v>
      </c>
      <c r="E83" s="5">
        <v>45552</v>
      </c>
      <c r="F83" s="6">
        <v>45967</v>
      </c>
      <c r="G83" s="3" t="s">
        <v>20</v>
      </c>
      <c r="H83" s="3" t="s">
        <v>18</v>
      </c>
      <c r="I83" s="3">
        <v>1</v>
      </c>
      <c r="J83" s="3">
        <v>1</v>
      </c>
      <c r="K83" s="3">
        <v>2</v>
      </c>
      <c r="L83" s="3">
        <v>16</v>
      </c>
      <c r="M83" s="3">
        <v>9</v>
      </c>
      <c r="N83" s="3" t="s">
        <v>23</v>
      </c>
      <c r="O83" s="7">
        <f>85+50*LOG10(6/M83)</f>
        <v>76.195437047215933</v>
      </c>
      <c r="P83" s="8">
        <v>0</v>
      </c>
      <c r="Q83" s="8">
        <f>P83-O83</f>
        <v>-76.195437047215933</v>
      </c>
      <c r="R83" t="s">
        <v>101</v>
      </c>
      <c r="S83">
        <f>COUNTIF(Q83,"&lt;0")</f>
        <v>1</v>
      </c>
    </row>
    <row r="84" spans="1:19" x14ac:dyDescent="0.25">
      <c r="B84" s="14"/>
      <c r="C84" s="14"/>
    </row>
    <row r="85" spans="1:19" x14ac:dyDescent="0.25">
      <c r="B85" s="14"/>
      <c r="C85" s="14"/>
    </row>
    <row r="86" spans="1:19" x14ac:dyDescent="0.25">
      <c r="B86" s="14"/>
      <c r="C86" s="14"/>
    </row>
    <row r="87" spans="1:19" x14ac:dyDescent="0.25">
      <c r="B87" s="14"/>
      <c r="C87" s="14"/>
    </row>
    <row r="88" spans="1:19" x14ac:dyDescent="0.25">
      <c r="B88" s="14"/>
      <c r="C88" s="14"/>
    </row>
    <row r="89" spans="1:19" x14ac:dyDescent="0.25">
      <c r="B89" s="14"/>
      <c r="C89" s="14"/>
    </row>
    <row r="90" spans="1:19" x14ac:dyDescent="0.25">
      <c r="B90" s="14"/>
      <c r="C90" s="14"/>
    </row>
    <row r="91" spans="1:19" x14ac:dyDescent="0.25">
      <c r="B91" s="14"/>
      <c r="C91" s="14"/>
    </row>
    <row r="92" spans="1:19" x14ac:dyDescent="0.25">
      <c r="B92" s="14"/>
      <c r="C92" s="14"/>
    </row>
    <row r="93" spans="1:19" x14ac:dyDescent="0.25">
      <c r="B93" s="14"/>
      <c r="C93" s="14"/>
    </row>
    <row r="94" spans="1:19" x14ac:dyDescent="0.25">
      <c r="B94" s="14"/>
      <c r="C94" s="14"/>
    </row>
    <row r="95" spans="1:19" x14ac:dyDescent="0.25">
      <c r="B95" s="14"/>
      <c r="C95" s="14"/>
    </row>
    <row r="96" spans="1:19" x14ac:dyDescent="0.25">
      <c r="B96" s="14"/>
      <c r="C96" s="14"/>
    </row>
    <row r="97" spans="2:3" x14ac:dyDescent="0.25">
      <c r="B97" s="14"/>
      <c r="C97" s="14"/>
    </row>
    <row r="98" spans="2:3" x14ac:dyDescent="0.25">
      <c r="B98" s="14"/>
      <c r="C98" s="14"/>
    </row>
    <row r="99" spans="2:3" x14ac:dyDescent="0.25">
      <c r="B99" s="14"/>
      <c r="C99" s="14"/>
    </row>
    <row r="100" spans="2:3" x14ac:dyDescent="0.25">
      <c r="B100" s="14"/>
      <c r="C100" s="14"/>
    </row>
    <row r="101" spans="2:3" x14ac:dyDescent="0.25">
      <c r="B101" s="14"/>
      <c r="C101" s="14"/>
    </row>
    <row r="102" spans="2:3" x14ac:dyDescent="0.25">
      <c r="B102" s="14"/>
      <c r="C102" s="14"/>
    </row>
    <row r="103" spans="2:3" x14ac:dyDescent="0.25">
      <c r="B103" s="14"/>
      <c r="C103" s="14"/>
    </row>
    <row r="104" spans="2:3" x14ac:dyDescent="0.25">
      <c r="B104" s="14"/>
      <c r="C104" s="14"/>
    </row>
    <row r="105" spans="2:3" x14ac:dyDescent="0.25">
      <c r="B105" s="14"/>
      <c r="C105" s="14"/>
    </row>
    <row r="106" spans="2:3" x14ac:dyDescent="0.25">
      <c r="B106" s="14"/>
      <c r="C106" s="14"/>
    </row>
    <row r="107" spans="2:3" x14ac:dyDescent="0.25">
      <c r="B107" s="14"/>
      <c r="C107" s="14"/>
    </row>
    <row r="108" spans="2:3" x14ac:dyDescent="0.25">
      <c r="B108" s="14"/>
      <c r="C108" s="14"/>
    </row>
    <row r="109" spans="2:3" x14ac:dyDescent="0.25">
      <c r="B109" s="14"/>
      <c r="C109" s="14"/>
    </row>
    <row r="110" spans="2:3" x14ac:dyDescent="0.25">
      <c r="B110" s="14"/>
      <c r="C110" s="14"/>
    </row>
    <row r="111" spans="2:3" x14ac:dyDescent="0.25">
      <c r="B111" s="14"/>
      <c r="C111" s="14"/>
    </row>
    <row r="112" spans="2:3" x14ac:dyDescent="0.25">
      <c r="B112" s="14"/>
      <c r="C112" s="14"/>
    </row>
    <row r="113" spans="2:3" x14ac:dyDescent="0.25">
      <c r="B113" s="14"/>
      <c r="C113" s="14"/>
    </row>
    <row r="114" spans="2:3" x14ac:dyDescent="0.25">
      <c r="B114" s="14"/>
      <c r="C114" s="14"/>
    </row>
    <row r="115" spans="2:3" x14ac:dyDescent="0.25">
      <c r="B115" s="14"/>
      <c r="C115" s="14"/>
    </row>
    <row r="116" spans="2:3" x14ac:dyDescent="0.25">
      <c r="B116" s="14"/>
      <c r="C116" s="14"/>
    </row>
    <row r="117" spans="2:3" x14ac:dyDescent="0.25">
      <c r="B117" s="14"/>
      <c r="C117" s="14"/>
    </row>
    <row r="118" spans="2:3" x14ac:dyDescent="0.25">
      <c r="B118" s="14"/>
      <c r="C118" s="14"/>
    </row>
    <row r="119" spans="2:3" x14ac:dyDescent="0.25">
      <c r="B119" s="14"/>
      <c r="C119" s="14"/>
    </row>
    <row r="120" spans="2:3" x14ac:dyDescent="0.25">
      <c r="B120" s="14"/>
      <c r="C120" s="14"/>
    </row>
    <row r="121" spans="2:3" x14ac:dyDescent="0.25">
      <c r="B121" s="14"/>
      <c r="C121" s="14"/>
    </row>
    <row r="122" spans="2:3" x14ac:dyDescent="0.25">
      <c r="B122" s="14"/>
      <c r="C122" s="14"/>
    </row>
    <row r="123" spans="2:3" x14ac:dyDescent="0.25">
      <c r="B123" s="14"/>
      <c r="C123" s="14"/>
    </row>
    <row r="124" spans="2:3" x14ac:dyDescent="0.25">
      <c r="B124" s="14"/>
      <c r="C124" s="14"/>
    </row>
    <row r="125" spans="2:3" x14ac:dyDescent="0.25">
      <c r="B125" s="14"/>
      <c r="C125" s="14"/>
    </row>
    <row r="126" spans="2:3" x14ac:dyDescent="0.25">
      <c r="B126" s="14"/>
      <c r="C126" s="14"/>
    </row>
    <row r="127" spans="2:3" x14ac:dyDescent="0.25">
      <c r="B127" s="14"/>
      <c r="C127" s="14"/>
    </row>
    <row r="128" spans="2:3" x14ac:dyDescent="0.25">
      <c r="B128" s="14"/>
      <c r="C128" s="14"/>
    </row>
    <row r="129" spans="2:3" x14ac:dyDescent="0.25">
      <c r="B129" s="14"/>
      <c r="C129" s="14"/>
    </row>
    <row r="130" spans="2:3" x14ac:dyDescent="0.25">
      <c r="B130" s="14"/>
      <c r="C130" s="14"/>
    </row>
    <row r="131" spans="2:3" x14ac:dyDescent="0.25">
      <c r="B131" s="14"/>
      <c r="C131" s="14"/>
    </row>
    <row r="132" spans="2:3" x14ac:dyDescent="0.25">
      <c r="B132" s="14"/>
      <c r="C132" s="14"/>
    </row>
    <row r="133" spans="2:3" x14ac:dyDescent="0.25">
      <c r="B133" s="14"/>
      <c r="C133" s="14"/>
    </row>
    <row r="134" spans="2:3" x14ac:dyDescent="0.25">
      <c r="B134" s="14"/>
      <c r="C134" s="14"/>
    </row>
    <row r="135" spans="2:3" x14ac:dyDescent="0.25">
      <c r="B135" s="14"/>
      <c r="C135" s="14"/>
    </row>
    <row r="136" spans="2:3" x14ac:dyDescent="0.25">
      <c r="B136" s="14"/>
      <c r="C136" s="14"/>
    </row>
    <row r="137" spans="2:3" x14ac:dyDescent="0.25">
      <c r="B137" s="14"/>
      <c r="C137" s="14"/>
    </row>
    <row r="138" spans="2:3" x14ac:dyDescent="0.25">
      <c r="B138" s="14"/>
      <c r="C138" s="14"/>
    </row>
    <row r="139" spans="2:3" x14ac:dyDescent="0.25">
      <c r="B139" s="14"/>
      <c r="C139" s="14"/>
    </row>
    <row r="140" spans="2:3" x14ac:dyDescent="0.25">
      <c r="B140" s="14"/>
      <c r="C140" s="14"/>
    </row>
    <row r="141" spans="2:3" x14ac:dyDescent="0.25">
      <c r="B141" s="14"/>
      <c r="C141" s="14"/>
    </row>
    <row r="142" spans="2:3" x14ac:dyDescent="0.25">
      <c r="B142" s="14"/>
      <c r="C142" s="14"/>
    </row>
    <row r="143" spans="2:3" x14ac:dyDescent="0.25">
      <c r="B143" s="14"/>
      <c r="C143" s="14"/>
    </row>
    <row r="144" spans="2:3" x14ac:dyDescent="0.25">
      <c r="B144" s="14"/>
      <c r="C144" s="14"/>
    </row>
    <row r="145" spans="2:3" x14ac:dyDescent="0.25">
      <c r="B145" s="14"/>
      <c r="C145" s="14"/>
    </row>
    <row r="146" spans="2:3" x14ac:dyDescent="0.25">
      <c r="B146" s="14"/>
      <c r="C146" s="14"/>
    </row>
    <row r="147" spans="2:3" x14ac:dyDescent="0.25">
      <c r="B147" s="14"/>
      <c r="C147" s="14"/>
    </row>
    <row r="148" spans="2:3" x14ac:dyDescent="0.25">
      <c r="B148" s="14"/>
      <c r="C148" s="14"/>
    </row>
    <row r="149" spans="2:3" x14ac:dyDescent="0.25">
      <c r="B149" s="14"/>
      <c r="C149" s="14"/>
    </row>
    <row r="150" spans="2:3" x14ac:dyDescent="0.25">
      <c r="B150" s="14"/>
      <c r="C150" s="14"/>
    </row>
    <row r="151" spans="2:3" x14ac:dyDescent="0.25">
      <c r="B151" s="14"/>
      <c r="C151" s="14"/>
    </row>
    <row r="152" spans="2:3" x14ac:dyDescent="0.25">
      <c r="B152" s="14"/>
      <c r="C152" s="14"/>
    </row>
    <row r="153" spans="2:3" x14ac:dyDescent="0.25">
      <c r="B153" s="14"/>
      <c r="C153" s="14"/>
    </row>
    <row r="154" spans="2:3" x14ac:dyDescent="0.25">
      <c r="B154" s="14"/>
      <c r="C154" s="14"/>
    </row>
    <row r="155" spans="2:3" x14ac:dyDescent="0.25">
      <c r="B155" s="14"/>
      <c r="C155" s="14"/>
    </row>
    <row r="156" spans="2:3" x14ac:dyDescent="0.25">
      <c r="B156" s="14"/>
      <c r="C156" s="14"/>
    </row>
    <row r="157" spans="2:3" x14ac:dyDescent="0.25">
      <c r="B157" s="14"/>
      <c r="C157" s="14"/>
    </row>
    <row r="158" spans="2:3" x14ac:dyDescent="0.25">
      <c r="B158" s="14"/>
      <c r="C158" s="14"/>
    </row>
    <row r="159" spans="2:3" x14ac:dyDescent="0.25">
      <c r="B159" s="14"/>
      <c r="C159" s="14"/>
    </row>
    <row r="160" spans="2:3" x14ac:dyDescent="0.25">
      <c r="B160" s="14"/>
      <c r="C160" s="14"/>
    </row>
    <row r="161" spans="2:3" x14ac:dyDescent="0.25">
      <c r="B161" s="14"/>
      <c r="C161" s="14"/>
    </row>
    <row r="162" spans="2:3" x14ac:dyDescent="0.25">
      <c r="B162" s="14"/>
      <c r="C162" s="14"/>
    </row>
    <row r="163" spans="2:3" x14ac:dyDescent="0.25">
      <c r="B163" s="14"/>
      <c r="C163" s="14"/>
    </row>
    <row r="164" spans="2:3" x14ac:dyDescent="0.25">
      <c r="B164" s="14"/>
      <c r="C164" s="14"/>
    </row>
    <row r="165" spans="2:3" x14ac:dyDescent="0.25">
      <c r="B165" s="14"/>
      <c r="C165" s="14"/>
    </row>
    <row r="166" spans="2:3" x14ac:dyDescent="0.25">
      <c r="B166" s="14"/>
      <c r="C166" s="14"/>
    </row>
    <row r="167" spans="2:3" x14ac:dyDescent="0.25">
      <c r="B167" s="14"/>
      <c r="C167" s="14"/>
    </row>
    <row r="168" spans="2:3" x14ac:dyDescent="0.25">
      <c r="B168" s="14"/>
      <c r="C168" s="14"/>
    </row>
    <row r="169" spans="2:3" x14ac:dyDescent="0.25">
      <c r="B169" s="14"/>
      <c r="C169" s="14"/>
    </row>
    <row r="170" spans="2:3" x14ac:dyDescent="0.25">
      <c r="B170" s="14"/>
      <c r="C170" s="14"/>
    </row>
    <row r="171" spans="2:3" x14ac:dyDescent="0.25">
      <c r="B171" s="14"/>
      <c r="C171" s="14"/>
    </row>
    <row r="172" spans="2:3" x14ac:dyDescent="0.25">
      <c r="B172" s="14"/>
      <c r="C172" s="14"/>
    </row>
    <row r="173" spans="2:3" x14ac:dyDescent="0.25">
      <c r="B173" s="14"/>
      <c r="C173" s="14"/>
    </row>
    <row r="174" spans="2:3" x14ac:dyDescent="0.25">
      <c r="B174" s="14"/>
      <c r="C174" s="14"/>
    </row>
    <row r="175" spans="2:3" x14ac:dyDescent="0.25">
      <c r="B175" s="14"/>
      <c r="C175" s="14"/>
    </row>
    <row r="176" spans="2:3" x14ac:dyDescent="0.25">
      <c r="B176" s="14"/>
      <c r="C176" s="14"/>
    </row>
    <row r="177" spans="2:3" x14ac:dyDescent="0.25">
      <c r="B177" s="14"/>
      <c r="C177" s="14"/>
    </row>
    <row r="178" spans="2:3" x14ac:dyDescent="0.25">
      <c r="B178" s="14"/>
      <c r="C178" s="14"/>
    </row>
    <row r="179" spans="2:3" x14ac:dyDescent="0.25">
      <c r="B179" s="14"/>
      <c r="C179" s="14"/>
    </row>
    <row r="180" spans="2:3" x14ac:dyDescent="0.25">
      <c r="B180" s="14"/>
      <c r="C180" s="14"/>
    </row>
    <row r="181" spans="2:3" x14ac:dyDescent="0.25">
      <c r="B181" s="14"/>
      <c r="C181" s="14"/>
    </row>
    <row r="182" spans="2:3" x14ac:dyDescent="0.25">
      <c r="B182" s="14"/>
      <c r="C182" s="14"/>
    </row>
    <row r="183" spans="2:3" x14ac:dyDescent="0.25">
      <c r="B183" s="14"/>
      <c r="C183" s="14"/>
    </row>
    <row r="184" spans="2:3" x14ac:dyDescent="0.25">
      <c r="B184" s="14"/>
      <c r="C184" s="14"/>
    </row>
    <row r="185" spans="2:3" x14ac:dyDescent="0.25">
      <c r="B185" s="14"/>
      <c r="C185" s="14"/>
    </row>
    <row r="186" spans="2:3" x14ac:dyDescent="0.25">
      <c r="B186" s="14"/>
      <c r="C186" s="14"/>
    </row>
    <row r="187" spans="2:3" x14ac:dyDescent="0.25">
      <c r="B187" s="14"/>
      <c r="C187" s="14"/>
    </row>
    <row r="188" spans="2:3" x14ac:dyDescent="0.25">
      <c r="B188" s="14"/>
      <c r="C188" s="14"/>
    </row>
    <row r="189" spans="2:3" x14ac:dyDescent="0.25">
      <c r="B189" s="14"/>
      <c r="C189" s="14"/>
    </row>
    <row r="190" spans="2:3" x14ac:dyDescent="0.25">
      <c r="B190" s="14"/>
      <c r="C190" s="14"/>
    </row>
    <row r="191" spans="2:3" x14ac:dyDescent="0.25">
      <c r="B191" s="14"/>
      <c r="C191" s="14"/>
    </row>
    <row r="192" spans="2:3" x14ac:dyDescent="0.25">
      <c r="B192" s="14"/>
      <c r="C192" s="14"/>
    </row>
    <row r="193" spans="2:3" x14ac:dyDescent="0.25">
      <c r="B193" s="14"/>
      <c r="C193" s="14"/>
    </row>
    <row r="194" spans="2:3" x14ac:dyDescent="0.25">
      <c r="B194" s="14"/>
      <c r="C194" s="14"/>
    </row>
    <row r="195" spans="2:3" x14ac:dyDescent="0.25">
      <c r="B195" s="14"/>
      <c r="C195" s="14"/>
    </row>
    <row r="196" spans="2:3" x14ac:dyDescent="0.25">
      <c r="B196" s="14"/>
      <c r="C196" s="14"/>
    </row>
    <row r="197" spans="2:3" x14ac:dyDescent="0.25">
      <c r="B197" s="14"/>
      <c r="C197" s="14"/>
    </row>
    <row r="198" spans="2:3" x14ac:dyDescent="0.25">
      <c r="B198" s="14"/>
      <c r="C198" s="14"/>
    </row>
    <row r="199" spans="2:3" x14ac:dyDescent="0.25">
      <c r="B199" s="14"/>
      <c r="C199" s="14"/>
    </row>
    <row r="200" spans="2:3" x14ac:dyDescent="0.25">
      <c r="B200" s="14"/>
      <c r="C200" s="14"/>
    </row>
    <row r="201" spans="2:3" x14ac:dyDescent="0.25">
      <c r="B201" s="14"/>
      <c r="C201" s="14"/>
    </row>
    <row r="202" spans="2:3" x14ac:dyDescent="0.25">
      <c r="B202" s="14"/>
      <c r="C202" s="14"/>
    </row>
    <row r="203" spans="2:3" x14ac:dyDescent="0.25">
      <c r="B203" s="14"/>
      <c r="C203" s="14"/>
    </row>
    <row r="204" spans="2:3" x14ac:dyDescent="0.25">
      <c r="B204" s="14"/>
      <c r="C204" s="14"/>
    </row>
    <row r="205" spans="2:3" x14ac:dyDescent="0.25">
      <c r="B205" s="14"/>
      <c r="C205" s="14"/>
    </row>
    <row r="206" spans="2:3" x14ac:dyDescent="0.25">
      <c r="B206" s="14"/>
      <c r="C206" s="14"/>
    </row>
    <row r="207" spans="2:3" x14ac:dyDescent="0.25">
      <c r="B207" s="14"/>
      <c r="C207" s="14"/>
    </row>
    <row r="208" spans="2:3" x14ac:dyDescent="0.25">
      <c r="B208" s="14"/>
      <c r="C208" s="14"/>
    </row>
    <row r="209" spans="2:3" x14ac:dyDescent="0.25">
      <c r="B209" s="14"/>
      <c r="C209" s="14"/>
    </row>
    <row r="210" spans="2:3" x14ac:dyDescent="0.25">
      <c r="B210" s="14"/>
      <c r="C210" s="14"/>
    </row>
    <row r="211" spans="2:3" x14ac:dyDescent="0.25">
      <c r="B211" s="14"/>
      <c r="C211" s="14"/>
    </row>
    <row r="212" spans="2:3" x14ac:dyDescent="0.25">
      <c r="B212" s="14"/>
      <c r="C212" s="14"/>
    </row>
    <row r="213" spans="2:3" x14ac:dyDescent="0.25">
      <c r="B213" s="14"/>
      <c r="C213" s="14"/>
    </row>
    <row r="214" spans="2:3" x14ac:dyDescent="0.25">
      <c r="B214" s="14"/>
      <c r="C214" s="14"/>
    </row>
    <row r="215" spans="2:3" x14ac:dyDescent="0.25">
      <c r="B215" s="14"/>
      <c r="C215" s="14"/>
    </row>
    <row r="216" spans="2:3" x14ac:dyDescent="0.25">
      <c r="B216" s="14"/>
      <c r="C216" s="14"/>
    </row>
    <row r="217" spans="2:3" x14ac:dyDescent="0.25">
      <c r="B217" s="14"/>
      <c r="C217" s="14"/>
    </row>
    <row r="218" spans="2:3" x14ac:dyDescent="0.25">
      <c r="B218" s="14"/>
      <c r="C218" s="14"/>
    </row>
    <row r="219" spans="2:3" x14ac:dyDescent="0.25">
      <c r="B219" s="14"/>
      <c r="C219" s="14"/>
    </row>
    <row r="220" spans="2:3" x14ac:dyDescent="0.25">
      <c r="B220" s="14"/>
      <c r="C220" s="14"/>
    </row>
    <row r="221" spans="2:3" x14ac:dyDescent="0.25">
      <c r="B221" s="14"/>
      <c r="C221" s="14"/>
    </row>
    <row r="222" spans="2:3" x14ac:dyDescent="0.25">
      <c r="B222" s="14"/>
      <c r="C222" s="14"/>
    </row>
    <row r="223" spans="2:3" x14ac:dyDescent="0.25">
      <c r="B223" s="14"/>
      <c r="C223" s="14"/>
    </row>
    <row r="224" spans="2:3" x14ac:dyDescent="0.25">
      <c r="B224" s="14"/>
      <c r="C224" s="14"/>
    </row>
    <row r="225" spans="2:3" x14ac:dyDescent="0.25">
      <c r="B225" s="14"/>
      <c r="C225" s="14"/>
    </row>
    <row r="226" spans="2:3" x14ac:dyDescent="0.25">
      <c r="B226" s="14"/>
      <c r="C226" s="14"/>
    </row>
    <row r="227" spans="2:3" x14ac:dyDescent="0.25">
      <c r="B227" s="14"/>
      <c r="C227" s="14"/>
    </row>
    <row r="228" spans="2:3" x14ac:dyDescent="0.25">
      <c r="B228" s="14"/>
      <c r="C228" s="14"/>
    </row>
    <row r="229" spans="2:3" x14ac:dyDescent="0.25">
      <c r="B229" s="14"/>
      <c r="C229" s="14"/>
    </row>
    <row r="230" spans="2:3" x14ac:dyDescent="0.25">
      <c r="B230" s="14"/>
      <c r="C230" s="14"/>
    </row>
    <row r="231" spans="2:3" x14ac:dyDescent="0.25">
      <c r="B231" s="14"/>
      <c r="C231" s="14"/>
    </row>
    <row r="232" spans="2:3" x14ac:dyDescent="0.25">
      <c r="B232" s="14"/>
      <c r="C232" s="14"/>
    </row>
    <row r="233" spans="2:3" x14ac:dyDescent="0.25">
      <c r="B233" s="14"/>
      <c r="C233" s="14"/>
    </row>
    <row r="234" spans="2:3" x14ac:dyDescent="0.25">
      <c r="B234" s="14"/>
      <c r="C234" s="14"/>
    </row>
    <row r="235" spans="2:3" x14ac:dyDescent="0.25">
      <c r="B235" s="14"/>
      <c r="C235" s="14"/>
    </row>
    <row r="236" spans="2:3" x14ac:dyDescent="0.25">
      <c r="B236" s="14"/>
      <c r="C236" s="14"/>
    </row>
    <row r="237" spans="2:3" x14ac:dyDescent="0.25">
      <c r="B237" s="14"/>
      <c r="C237" s="14"/>
    </row>
    <row r="238" spans="2:3" x14ac:dyDescent="0.25">
      <c r="B238" s="14"/>
      <c r="C238" s="14"/>
    </row>
    <row r="239" spans="2:3" x14ac:dyDescent="0.25">
      <c r="B239" s="14"/>
      <c r="C239" s="14"/>
    </row>
    <row r="240" spans="2:3" x14ac:dyDescent="0.25">
      <c r="B240" s="14"/>
      <c r="C240" s="14"/>
    </row>
    <row r="241" spans="2:3" x14ac:dyDescent="0.25">
      <c r="B241" s="14"/>
      <c r="C241" s="14"/>
    </row>
    <row r="242" spans="2:3" x14ac:dyDescent="0.25">
      <c r="B242" s="14"/>
      <c r="C242" s="14"/>
    </row>
    <row r="243" spans="2:3" x14ac:dyDescent="0.25">
      <c r="B243" s="14"/>
      <c r="C243" s="14"/>
    </row>
    <row r="244" spans="2:3" x14ac:dyDescent="0.25">
      <c r="B244" s="14"/>
      <c r="C244" s="14"/>
    </row>
    <row r="245" spans="2:3" x14ac:dyDescent="0.25">
      <c r="B245" s="14"/>
      <c r="C245" s="14"/>
    </row>
    <row r="246" spans="2:3" x14ac:dyDescent="0.25">
      <c r="B246" s="14"/>
      <c r="C246" s="14"/>
    </row>
    <row r="247" spans="2:3" x14ac:dyDescent="0.25">
      <c r="B247" s="14"/>
      <c r="C247" s="14"/>
    </row>
    <row r="248" spans="2:3" x14ac:dyDescent="0.25">
      <c r="B248" s="14"/>
      <c r="C248" s="14"/>
    </row>
    <row r="249" spans="2:3" x14ac:dyDescent="0.25">
      <c r="B249" s="14"/>
      <c r="C249" s="14"/>
    </row>
    <row r="250" spans="2:3" x14ac:dyDescent="0.25">
      <c r="B250" s="14"/>
      <c r="C250" s="14"/>
    </row>
    <row r="251" spans="2:3" x14ac:dyDescent="0.25">
      <c r="B251" s="14"/>
      <c r="C251" s="14"/>
    </row>
    <row r="252" spans="2:3" x14ac:dyDescent="0.25">
      <c r="B252" s="14"/>
      <c r="C252" s="14"/>
    </row>
    <row r="253" spans="2:3" x14ac:dyDescent="0.25">
      <c r="B253" s="14"/>
      <c r="C253" s="14"/>
    </row>
    <row r="254" spans="2:3" x14ac:dyDescent="0.25">
      <c r="B254" s="14"/>
      <c r="C254" s="14"/>
    </row>
    <row r="255" spans="2:3" x14ac:dyDescent="0.25">
      <c r="B255" s="14"/>
      <c r="C255" s="14"/>
    </row>
    <row r="256" spans="2:3" x14ac:dyDescent="0.25">
      <c r="B256" s="14"/>
      <c r="C256" s="14"/>
    </row>
    <row r="257" spans="2:3" x14ac:dyDescent="0.25">
      <c r="B257" s="14"/>
      <c r="C257" s="14"/>
    </row>
    <row r="258" spans="2:3" x14ac:dyDescent="0.25">
      <c r="B258" s="14"/>
      <c r="C258" s="14"/>
    </row>
    <row r="259" spans="2:3" x14ac:dyDescent="0.25">
      <c r="B259" s="14"/>
      <c r="C259" s="14"/>
    </row>
    <row r="260" spans="2:3" x14ac:dyDescent="0.25">
      <c r="B260" s="14"/>
      <c r="C260" s="14"/>
    </row>
    <row r="261" spans="2:3" x14ac:dyDescent="0.25">
      <c r="B261" s="14"/>
      <c r="C261" s="14"/>
    </row>
    <row r="262" spans="2:3" x14ac:dyDescent="0.25">
      <c r="B262" s="14"/>
      <c r="C262" s="14"/>
    </row>
    <row r="263" spans="2:3" x14ac:dyDescent="0.25">
      <c r="B263" s="14"/>
      <c r="C263" s="14"/>
    </row>
    <row r="264" spans="2:3" x14ac:dyDescent="0.25">
      <c r="B264" s="14"/>
      <c r="C264" s="14"/>
    </row>
    <row r="265" spans="2:3" x14ac:dyDescent="0.25">
      <c r="B265" s="14"/>
      <c r="C265" s="14"/>
    </row>
    <row r="266" spans="2:3" x14ac:dyDescent="0.25">
      <c r="B266" s="14"/>
      <c r="C266" s="14"/>
    </row>
    <row r="267" spans="2:3" x14ac:dyDescent="0.25">
      <c r="B267" s="14"/>
      <c r="C267" s="14"/>
    </row>
    <row r="268" spans="2:3" x14ac:dyDescent="0.25">
      <c r="B268" s="14"/>
      <c r="C268" s="14"/>
    </row>
    <row r="269" spans="2:3" x14ac:dyDescent="0.25">
      <c r="B269" s="14"/>
      <c r="C269" s="14"/>
    </row>
    <row r="270" spans="2:3" x14ac:dyDescent="0.25">
      <c r="B270" s="14"/>
      <c r="C270" s="14"/>
    </row>
    <row r="271" spans="2:3" x14ac:dyDescent="0.25">
      <c r="B271" s="14"/>
      <c r="C271" s="14"/>
    </row>
    <row r="272" spans="2:3" x14ac:dyDescent="0.25">
      <c r="B272" s="14"/>
      <c r="C272" s="14"/>
    </row>
    <row r="273" spans="2:3" x14ac:dyDescent="0.25">
      <c r="B273" s="14"/>
      <c r="C273" s="14"/>
    </row>
    <row r="274" spans="2:3" x14ac:dyDescent="0.25">
      <c r="B274" s="14"/>
      <c r="C274" s="14"/>
    </row>
    <row r="275" spans="2:3" x14ac:dyDescent="0.25">
      <c r="B275" s="14"/>
      <c r="C275" s="14"/>
    </row>
    <row r="276" spans="2:3" x14ac:dyDescent="0.25">
      <c r="B276" s="14"/>
      <c r="C276" s="14"/>
    </row>
    <row r="277" spans="2:3" x14ac:dyDescent="0.25">
      <c r="B277" s="14"/>
      <c r="C277" s="14"/>
    </row>
    <row r="278" spans="2:3" x14ac:dyDescent="0.25">
      <c r="B278" s="14"/>
      <c r="C278" s="14"/>
    </row>
    <row r="279" spans="2:3" x14ac:dyDescent="0.25">
      <c r="B279" s="14"/>
      <c r="C279" s="14"/>
    </row>
    <row r="280" spans="2:3" x14ac:dyDescent="0.25">
      <c r="B280" s="14"/>
      <c r="C280" s="14"/>
    </row>
    <row r="281" spans="2:3" x14ac:dyDescent="0.25">
      <c r="B281" s="14"/>
      <c r="C281" s="14"/>
    </row>
    <row r="282" spans="2:3" x14ac:dyDescent="0.25">
      <c r="B282" s="14"/>
      <c r="C282" s="14"/>
    </row>
    <row r="283" spans="2:3" x14ac:dyDescent="0.25">
      <c r="B283" s="14"/>
      <c r="C283" s="14"/>
    </row>
    <row r="284" spans="2:3" x14ac:dyDescent="0.25">
      <c r="B284" s="14"/>
      <c r="C284" s="14"/>
    </row>
    <row r="285" spans="2:3" x14ac:dyDescent="0.25">
      <c r="B285" s="14"/>
      <c r="C285" s="14"/>
    </row>
    <row r="286" spans="2:3" x14ac:dyDescent="0.25">
      <c r="B286" s="14"/>
      <c r="C286" s="14"/>
    </row>
    <row r="287" spans="2:3" x14ac:dyDescent="0.25">
      <c r="B287" s="14"/>
      <c r="C287" s="14"/>
    </row>
    <row r="288" spans="2:3" x14ac:dyDescent="0.25">
      <c r="B288" s="14"/>
      <c r="C288" s="14"/>
    </row>
    <row r="289" spans="2:3" x14ac:dyDescent="0.25">
      <c r="B289" s="14"/>
      <c r="C289" s="14"/>
    </row>
    <row r="290" spans="2:3" x14ac:dyDescent="0.25">
      <c r="B290" s="14"/>
      <c r="C290" s="14"/>
    </row>
    <row r="291" spans="2:3" x14ac:dyDescent="0.25">
      <c r="B291" s="14"/>
      <c r="C291" s="14"/>
    </row>
    <row r="292" spans="2:3" x14ac:dyDescent="0.25">
      <c r="B292" s="14"/>
      <c r="C292" s="14"/>
    </row>
    <row r="293" spans="2:3" x14ac:dyDescent="0.25">
      <c r="B293" s="14"/>
      <c r="C293" s="14"/>
    </row>
    <row r="294" spans="2:3" x14ac:dyDescent="0.25">
      <c r="B294" s="14"/>
      <c r="C294" s="14"/>
    </row>
    <row r="295" spans="2:3" x14ac:dyDescent="0.25">
      <c r="B295" s="14"/>
      <c r="C295" s="14"/>
    </row>
    <row r="296" spans="2:3" x14ac:dyDescent="0.25">
      <c r="B296" s="14"/>
      <c r="C296" s="14"/>
    </row>
    <row r="297" spans="2:3" x14ac:dyDescent="0.25">
      <c r="B297" s="14"/>
      <c r="C297" s="14"/>
    </row>
    <row r="298" spans="2:3" x14ac:dyDescent="0.25">
      <c r="B298" s="14"/>
      <c r="C298" s="14"/>
    </row>
    <row r="299" spans="2:3" x14ac:dyDescent="0.25">
      <c r="B299" s="14"/>
      <c r="C299" s="14"/>
    </row>
    <row r="300" spans="2:3" x14ac:dyDescent="0.25">
      <c r="B300" s="14"/>
      <c r="C300" s="14"/>
    </row>
    <row r="301" spans="2:3" x14ac:dyDescent="0.25">
      <c r="B301" s="14"/>
      <c r="C301" s="14"/>
    </row>
    <row r="302" spans="2:3" x14ac:dyDescent="0.25">
      <c r="B302" s="14"/>
      <c r="C302" s="14"/>
    </row>
    <row r="303" spans="2:3" x14ac:dyDescent="0.25">
      <c r="B303" s="14"/>
      <c r="C303" s="14"/>
    </row>
    <row r="304" spans="2:3" x14ac:dyDescent="0.25">
      <c r="B304" s="14"/>
      <c r="C304" s="14"/>
    </row>
    <row r="305" spans="2:3" x14ac:dyDescent="0.25">
      <c r="B305" s="14"/>
      <c r="C305" s="14"/>
    </row>
    <row r="306" spans="2:3" x14ac:dyDescent="0.25">
      <c r="B306" s="14"/>
      <c r="C306" s="14"/>
    </row>
    <row r="307" spans="2:3" x14ac:dyDescent="0.25">
      <c r="B307" s="14"/>
      <c r="C307" s="14"/>
    </row>
    <row r="308" spans="2:3" x14ac:dyDescent="0.25">
      <c r="B308" s="14"/>
      <c r="C308" s="14"/>
    </row>
    <row r="309" spans="2:3" x14ac:dyDescent="0.25">
      <c r="B309" s="14"/>
      <c r="C309" s="14"/>
    </row>
    <row r="310" spans="2:3" x14ac:dyDescent="0.25">
      <c r="B310" s="14"/>
      <c r="C310" s="14"/>
    </row>
    <row r="311" spans="2:3" x14ac:dyDescent="0.25">
      <c r="B311" s="14"/>
      <c r="C311" s="14"/>
    </row>
    <row r="312" spans="2:3" x14ac:dyDescent="0.25">
      <c r="B312" s="14"/>
      <c r="C312" s="14"/>
    </row>
    <row r="313" spans="2:3" x14ac:dyDescent="0.25">
      <c r="B313" s="14"/>
      <c r="C313" s="14"/>
    </row>
    <row r="314" spans="2:3" x14ac:dyDescent="0.25">
      <c r="B314" s="14"/>
      <c r="C314" s="14"/>
    </row>
    <row r="315" spans="2:3" x14ac:dyDescent="0.25">
      <c r="B315" s="14"/>
      <c r="C315" s="14"/>
    </row>
    <row r="316" spans="2:3" x14ac:dyDescent="0.25">
      <c r="B316" s="14"/>
      <c r="C316" s="14"/>
    </row>
    <row r="317" spans="2:3" x14ac:dyDescent="0.25">
      <c r="B317" s="14"/>
      <c r="C317" s="14"/>
    </row>
    <row r="318" spans="2:3" x14ac:dyDescent="0.25">
      <c r="B318" s="14"/>
      <c r="C318" s="14"/>
    </row>
    <row r="319" spans="2:3" x14ac:dyDescent="0.25">
      <c r="B319" s="14"/>
      <c r="C319" s="14"/>
    </row>
    <row r="320" spans="2:3" x14ac:dyDescent="0.25">
      <c r="B320" s="14"/>
      <c r="C320" s="14"/>
    </row>
    <row r="321" spans="2:3" x14ac:dyDescent="0.25">
      <c r="B321" s="14"/>
      <c r="C321" s="14"/>
    </row>
    <row r="322" spans="2:3" x14ac:dyDescent="0.25">
      <c r="B322" s="14"/>
      <c r="C322" s="14"/>
    </row>
    <row r="323" spans="2:3" x14ac:dyDescent="0.25">
      <c r="B323" s="14"/>
      <c r="C323" s="14"/>
    </row>
    <row r="324" spans="2:3" x14ac:dyDescent="0.25">
      <c r="B324" s="14"/>
      <c r="C324" s="14"/>
    </row>
    <row r="325" spans="2:3" x14ac:dyDescent="0.25">
      <c r="B325" s="14"/>
      <c r="C325" s="14"/>
    </row>
    <row r="326" spans="2:3" x14ac:dyDescent="0.25">
      <c r="B326" s="14"/>
      <c r="C326" s="14"/>
    </row>
    <row r="327" spans="2:3" x14ac:dyDescent="0.25">
      <c r="B327" s="14"/>
      <c r="C327" s="14"/>
    </row>
    <row r="328" spans="2:3" x14ac:dyDescent="0.25">
      <c r="B328" s="14"/>
      <c r="C328" s="14"/>
    </row>
    <row r="329" spans="2:3" x14ac:dyDescent="0.25">
      <c r="B329" s="14"/>
      <c r="C329" s="14"/>
    </row>
    <row r="330" spans="2:3" x14ac:dyDescent="0.25">
      <c r="B330" s="14"/>
      <c r="C330" s="14"/>
    </row>
    <row r="331" spans="2:3" x14ac:dyDescent="0.25">
      <c r="B331" s="14"/>
      <c r="C331" s="14"/>
    </row>
    <row r="332" spans="2:3" x14ac:dyDescent="0.25">
      <c r="B332" s="14"/>
      <c r="C332" s="14"/>
    </row>
    <row r="333" spans="2:3" x14ac:dyDescent="0.25">
      <c r="B333" s="14"/>
      <c r="C333" s="14"/>
    </row>
    <row r="334" spans="2:3" x14ac:dyDescent="0.25">
      <c r="B334" s="14"/>
      <c r="C334" s="14"/>
    </row>
    <row r="335" spans="2:3" x14ac:dyDescent="0.25">
      <c r="B335" s="14"/>
      <c r="C335" s="14"/>
    </row>
    <row r="336" spans="2:3" x14ac:dyDescent="0.25">
      <c r="B336" s="14"/>
      <c r="C336" s="14"/>
    </row>
    <row r="337" spans="2:3" x14ac:dyDescent="0.25">
      <c r="B337" s="14"/>
      <c r="C337" s="14"/>
    </row>
    <row r="338" spans="2:3" x14ac:dyDescent="0.25">
      <c r="B338" s="14"/>
      <c r="C338" s="14"/>
    </row>
    <row r="339" spans="2:3" x14ac:dyDescent="0.25">
      <c r="B339" s="14"/>
      <c r="C339" s="14"/>
    </row>
    <row r="340" spans="2:3" x14ac:dyDescent="0.25">
      <c r="B340" s="14"/>
      <c r="C340" s="14"/>
    </row>
    <row r="341" spans="2:3" x14ac:dyDescent="0.25">
      <c r="B341" s="14"/>
      <c r="C341" s="14"/>
    </row>
    <row r="342" spans="2:3" x14ac:dyDescent="0.25">
      <c r="B342" s="14"/>
      <c r="C342" s="14"/>
    </row>
    <row r="343" spans="2:3" x14ac:dyDescent="0.25">
      <c r="B343" s="14"/>
      <c r="C343" s="14"/>
    </row>
    <row r="344" spans="2:3" x14ac:dyDescent="0.25">
      <c r="B344" s="14"/>
      <c r="C344" s="14"/>
    </row>
    <row r="345" spans="2:3" x14ac:dyDescent="0.25">
      <c r="B345" s="14"/>
      <c r="C345" s="14"/>
    </row>
    <row r="346" spans="2:3" x14ac:dyDescent="0.25">
      <c r="B346" s="14"/>
      <c r="C346" s="14"/>
    </row>
    <row r="347" spans="2:3" x14ac:dyDescent="0.25">
      <c r="B347" s="14"/>
      <c r="C347" s="14"/>
    </row>
    <row r="348" spans="2:3" x14ac:dyDescent="0.25">
      <c r="B348" s="14"/>
      <c r="C348" s="14"/>
    </row>
    <row r="349" spans="2:3" x14ac:dyDescent="0.25">
      <c r="B349" s="14"/>
      <c r="C349" s="14"/>
    </row>
    <row r="350" spans="2:3" x14ac:dyDescent="0.25">
      <c r="B350" s="14"/>
      <c r="C350" s="14"/>
    </row>
    <row r="351" spans="2:3" x14ac:dyDescent="0.25">
      <c r="B351" s="14"/>
      <c r="C351" s="14"/>
    </row>
    <row r="352" spans="2:3" x14ac:dyDescent="0.25">
      <c r="B352" s="14"/>
      <c r="C352" s="14"/>
    </row>
    <row r="353" spans="2:3" x14ac:dyDescent="0.25">
      <c r="B353" s="14"/>
      <c r="C353" s="14"/>
    </row>
    <row r="354" spans="2:3" x14ac:dyDescent="0.25">
      <c r="B354" s="14"/>
      <c r="C354" s="14"/>
    </row>
    <row r="355" spans="2:3" x14ac:dyDescent="0.25">
      <c r="B355" s="14"/>
      <c r="C355" s="14"/>
    </row>
    <row r="356" spans="2:3" x14ac:dyDescent="0.25">
      <c r="B356" s="14"/>
      <c r="C356" s="14"/>
    </row>
    <row r="357" spans="2:3" x14ac:dyDescent="0.25">
      <c r="B357" s="14"/>
      <c r="C357" s="14"/>
    </row>
    <row r="358" spans="2:3" x14ac:dyDescent="0.25">
      <c r="B358" s="14"/>
      <c r="C358" s="14"/>
    </row>
    <row r="359" spans="2:3" x14ac:dyDescent="0.25">
      <c r="B359" s="14"/>
      <c r="C359" s="14"/>
    </row>
    <row r="360" spans="2:3" x14ac:dyDescent="0.25">
      <c r="B360" s="14"/>
      <c r="C360" s="14"/>
    </row>
    <row r="361" spans="2:3" x14ac:dyDescent="0.25">
      <c r="B361" s="14"/>
      <c r="C361" s="14"/>
    </row>
    <row r="362" spans="2:3" x14ac:dyDescent="0.25">
      <c r="B362" s="14"/>
      <c r="C362" s="14"/>
    </row>
    <row r="363" spans="2:3" x14ac:dyDescent="0.25">
      <c r="B363" s="14"/>
      <c r="C363" s="14"/>
    </row>
    <row r="364" spans="2:3" x14ac:dyDescent="0.25">
      <c r="B364" s="14"/>
      <c r="C364" s="14"/>
    </row>
    <row r="365" spans="2:3" x14ac:dyDescent="0.25">
      <c r="B365" s="14"/>
      <c r="C365" s="14"/>
    </row>
    <row r="366" spans="2:3" x14ac:dyDescent="0.25">
      <c r="B366" s="14"/>
      <c r="C366" s="14"/>
    </row>
    <row r="367" spans="2:3" x14ac:dyDescent="0.25">
      <c r="B367" s="14"/>
      <c r="C367" s="14"/>
    </row>
    <row r="368" spans="2:3" x14ac:dyDescent="0.25">
      <c r="B368" s="14"/>
      <c r="C368" s="14"/>
    </row>
    <row r="369" spans="2:3" x14ac:dyDescent="0.25">
      <c r="B369" s="14"/>
      <c r="C369" s="14"/>
    </row>
    <row r="370" spans="2:3" x14ac:dyDescent="0.25">
      <c r="B370" s="14"/>
      <c r="C370" s="14"/>
    </row>
    <row r="371" spans="2:3" x14ac:dyDescent="0.25">
      <c r="B371" s="14"/>
      <c r="C371" s="14"/>
    </row>
    <row r="372" spans="2:3" x14ac:dyDescent="0.25">
      <c r="B372" s="14"/>
      <c r="C372" s="14"/>
    </row>
    <row r="373" spans="2:3" x14ac:dyDescent="0.25">
      <c r="B373" s="14"/>
      <c r="C373" s="14"/>
    </row>
    <row r="374" spans="2:3" x14ac:dyDescent="0.25">
      <c r="B374" s="14"/>
      <c r="C374" s="14"/>
    </row>
    <row r="375" spans="2:3" x14ac:dyDescent="0.25">
      <c r="B375" s="14"/>
      <c r="C375" s="14"/>
    </row>
    <row r="376" spans="2:3" x14ac:dyDescent="0.25">
      <c r="B376" s="14"/>
      <c r="C376" s="14"/>
    </row>
    <row r="377" spans="2:3" x14ac:dyDescent="0.25">
      <c r="B377" s="14"/>
      <c r="C377" s="14"/>
    </row>
    <row r="378" spans="2:3" x14ac:dyDescent="0.25">
      <c r="B378" s="14"/>
      <c r="C378" s="14"/>
    </row>
    <row r="379" spans="2:3" x14ac:dyDescent="0.25">
      <c r="B379" s="14"/>
      <c r="C379" s="14"/>
    </row>
    <row r="380" spans="2:3" x14ac:dyDescent="0.25">
      <c r="B380" s="14"/>
      <c r="C380" s="14"/>
    </row>
    <row r="381" spans="2:3" x14ac:dyDescent="0.25">
      <c r="B381" s="14"/>
      <c r="C381" s="14"/>
    </row>
    <row r="382" spans="2:3" x14ac:dyDescent="0.25">
      <c r="B382" s="14"/>
      <c r="C382" s="14"/>
    </row>
    <row r="383" spans="2:3" x14ac:dyDescent="0.25">
      <c r="B383" s="14"/>
      <c r="C383" s="14"/>
    </row>
    <row r="384" spans="2:3" x14ac:dyDescent="0.25">
      <c r="B384" s="14"/>
      <c r="C384" s="14"/>
    </row>
    <row r="385" spans="2:3" x14ac:dyDescent="0.25">
      <c r="B385" s="14"/>
      <c r="C385" s="14"/>
    </row>
    <row r="386" spans="2:3" x14ac:dyDescent="0.25">
      <c r="B386" s="14"/>
      <c r="C386" s="14"/>
    </row>
    <row r="387" spans="2:3" x14ac:dyDescent="0.25">
      <c r="B387" s="14"/>
      <c r="C387" s="14"/>
    </row>
    <row r="388" spans="2:3" x14ac:dyDescent="0.25">
      <c r="B388" s="14"/>
      <c r="C388" s="14"/>
    </row>
    <row r="389" spans="2:3" x14ac:dyDescent="0.25">
      <c r="B389" s="14"/>
      <c r="C389" s="14"/>
    </row>
    <row r="390" spans="2:3" x14ac:dyDescent="0.25">
      <c r="B390" s="14"/>
      <c r="C390" s="14"/>
    </row>
    <row r="391" spans="2:3" x14ac:dyDescent="0.25">
      <c r="B391" s="14"/>
      <c r="C391" s="14"/>
    </row>
    <row r="392" spans="2:3" x14ac:dyDescent="0.25">
      <c r="B392" s="14"/>
      <c r="C392" s="14"/>
    </row>
    <row r="393" spans="2:3" x14ac:dyDescent="0.25">
      <c r="B393" s="14"/>
      <c r="C393" s="14"/>
    </row>
    <row r="394" spans="2:3" x14ac:dyDescent="0.25">
      <c r="B394" s="14"/>
      <c r="C394" s="14"/>
    </row>
    <row r="395" spans="2:3" x14ac:dyDescent="0.25">
      <c r="B395" s="14"/>
      <c r="C395" s="14"/>
    </row>
    <row r="396" spans="2:3" x14ac:dyDescent="0.25">
      <c r="B396" s="14"/>
      <c r="C396" s="14"/>
    </row>
    <row r="397" spans="2:3" x14ac:dyDescent="0.25">
      <c r="B397" s="14"/>
      <c r="C397" s="14"/>
    </row>
    <row r="398" spans="2:3" x14ac:dyDescent="0.25">
      <c r="B398" s="14"/>
      <c r="C398" s="14"/>
    </row>
    <row r="399" spans="2:3" x14ac:dyDescent="0.25">
      <c r="B399" s="14"/>
      <c r="C399" s="14"/>
    </row>
    <row r="400" spans="2:3" x14ac:dyDescent="0.25">
      <c r="B400" s="14"/>
      <c r="C400" s="14"/>
    </row>
    <row r="401" spans="2:3" x14ac:dyDescent="0.25">
      <c r="B401" s="14"/>
      <c r="C401" s="14"/>
    </row>
    <row r="402" spans="2:3" x14ac:dyDescent="0.25">
      <c r="B402" s="14"/>
      <c r="C402" s="14"/>
    </row>
    <row r="403" spans="2:3" x14ac:dyDescent="0.25">
      <c r="B403" s="14"/>
      <c r="C403" s="14"/>
    </row>
    <row r="404" spans="2:3" x14ac:dyDescent="0.25">
      <c r="B404" s="14"/>
      <c r="C404" s="14"/>
    </row>
    <row r="405" spans="2:3" x14ac:dyDescent="0.25">
      <c r="B405" s="14"/>
      <c r="C405" s="14"/>
    </row>
    <row r="406" spans="2:3" x14ac:dyDescent="0.25">
      <c r="B406" s="14"/>
      <c r="C406" s="14"/>
    </row>
    <row r="407" spans="2:3" x14ac:dyDescent="0.25">
      <c r="B407" s="14"/>
      <c r="C407" s="14"/>
    </row>
    <row r="408" spans="2:3" x14ac:dyDescent="0.25">
      <c r="B408" s="14"/>
      <c r="C408" s="14"/>
    </row>
    <row r="409" spans="2:3" x14ac:dyDescent="0.25">
      <c r="B409" s="14"/>
      <c r="C409" s="14"/>
    </row>
    <row r="410" spans="2:3" x14ac:dyDescent="0.25">
      <c r="B410" s="14"/>
      <c r="C410" s="14"/>
    </row>
    <row r="411" spans="2:3" x14ac:dyDescent="0.25">
      <c r="B411" s="14"/>
      <c r="C411" s="14"/>
    </row>
    <row r="412" spans="2:3" x14ac:dyDescent="0.25">
      <c r="B412" s="14"/>
      <c r="C412" s="14"/>
    </row>
    <row r="413" spans="2:3" x14ac:dyDescent="0.25">
      <c r="B413" s="14"/>
      <c r="C413" s="14"/>
    </row>
    <row r="414" spans="2:3" x14ac:dyDescent="0.25">
      <c r="B414" s="14"/>
      <c r="C414" s="14"/>
    </row>
    <row r="415" spans="2:3" x14ac:dyDescent="0.25">
      <c r="B415" s="14"/>
      <c r="C415" s="14"/>
    </row>
    <row r="416" spans="2:3" x14ac:dyDescent="0.25">
      <c r="B416" s="14"/>
      <c r="C416" s="14"/>
    </row>
    <row r="417" spans="2:3" x14ac:dyDescent="0.25">
      <c r="B417" s="14"/>
      <c r="C417" s="14"/>
    </row>
    <row r="418" spans="2:3" x14ac:dyDescent="0.25">
      <c r="B418" s="14"/>
      <c r="C418" s="14"/>
    </row>
    <row r="419" spans="2:3" x14ac:dyDescent="0.25">
      <c r="B419" s="14"/>
      <c r="C419" s="14"/>
    </row>
    <row r="420" spans="2:3" x14ac:dyDescent="0.25">
      <c r="B420" s="14"/>
      <c r="C420" s="14"/>
    </row>
    <row r="421" spans="2:3" x14ac:dyDescent="0.25">
      <c r="B421" s="14"/>
      <c r="C421" s="14"/>
    </row>
    <row r="422" spans="2:3" x14ac:dyDescent="0.25">
      <c r="B422" s="14"/>
      <c r="C422" s="14"/>
    </row>
    <row r="423" spans="2:3" x14ac:dyDescent="0.25">
      <c r="B423" s="14"/>
      <c r="C423" s="14"/>
    </row>
    <row r="424" spans="2:3" x14ac:dyDescent="0.25">
      <c r="B424" s="14"/>
      <c r="C424" s="14"/>
    </row>
    <row r="425" spans="2:3" x14ac:dyDescent="0.25">
      <c r="B425" s="14"/>
      <c r="C425" s="14"/>
    </row>
    <row r="426" spans="2:3" x14ac:dyDescent="0.25">
      <c r="B426" s="14"/>
      <c r="C426" s="14"/>
    </row>
    <row r="427" spans="2:3" x14ac:dyDescent="0.25">
      <c r="B427" s="14"/>
      <c r="C427" s="14"/>
    </row>
    <row r="428" spans="2:3" x14ac:dyDescent="0.25">
      <c r="B428" s="14"/>
      <c r="C428" s="14"/>
    </row>
    <row r="429" spans="2:3" x14ac:dyDescent="0.25">
      <c r="B429" s="14"/>
      <c r="C429" s="14"/>
    </row>
    <row r="430" spans="2:3" x14ac:dyDescent="0.25">
      <c r="B430" s="14"/>
      <c r="C430" s="14"/>
    </row>
    <row r="431" spans="2:3" x14ac:dyDescent="0.25">
      <c r="B431" s="14"/>
      <c r="C431" s="14"/>
    </row>
    <row r="432" spans="2:3" x14ac:dyDescent="0.25">
      <c r="B432" s="14"/>
      <c r="C432" s="14"/>
    </row>
    <row r="433" spans="2:3" x14ac:dyDescent="0.25">
      <c r="B433" s="14"/>
      <c r="C433" s="14"/>
    </row>
    <row r="434" spans="2:3" x14ac:dyDescent="0.25">
      <c r="B434" s="14"/>
      <c r="C434" s="14"/>
    </row>
    <row r="435" spans="2:3" x14ac:dyDescent="0.25">
      <c r="B435" s="14"/>
      <c r="C435" s="14"/>
    </row>
    <row r="436" spans="2:3" x14ac:dyDescent="0.25">
      <c r="B436" s="14"/>
      <c r="C436" s="14"/>
    </row>
    <row r="437" spans="2:3" x14ac:dyDescent="0.25">
      <c r="B437" s="14"/>
      <c r="C437" s="14"/>
    </row>
    <row r="438" spans="2:3" x14ac:dyDescent="0.25">
      <c r="B438" s="14"/>
      <c r="C438" s="14"/>
    </row>
    <row r="439" spans="2:3" x14ac:dyDescent="0.25">
      <c r="B439" s="14"/>
      <c r="C439" s="14"/>
    </row>
    <row r="440" spans="2:3" x14ac:dyDescent="0.25">
      <c r="B440" s="14"/>
      <c r="C440" s="14"/>
    </row>
    <row r="441" spans="2:3" x14ac:dyDescent="0.25">
      <c r="B441" s="14"/>
      <c r="C441" s="14"/>
    </row>
    <row r="442" spans="2:3" x14ac:dyDescent="0.25">
      <c r="B442" s="14"/>
      <c r="C442" s="14"/>
    </row>
    <row r="443" spans="2:3" x14ac:dyDescent="0.25">
      <c r="B443" s="14"/>
      <c r="C443" s="14"/>
    </row>
    <row r="444" spans="2:3" x14ac:dyDescent="0.25">
      <c r="B444" s="14"/>
      <c r="C444" s="14"/>
    </row>
    <row r="445" spans="2:3" x14ac:dyDescent="0.25">
      <c r="B445" s="14"/>
      <c r="C445" s="14"/>
    </row>
    <row r="446" spans="2:3" x14ac:dyDescent="0.25">
      <c r="B446" s="14"/>
      <c r="C446" s="14"/>
    </row>
    <row r="447" spans="2:3" x14ac:dyDescent="0.25">
      <c r="B447" s="14"/>
      <c r="C447" s="14"/>
    </row>
    <row r="448" spans="2:3" x14ac:dyDescent="0.25">
      <c r="B448" s="14"/>
      <c r="C448" s="14"/>
    </row>
    <row r="449" spans="2:3" x14ac:dyDescent="0.25">
      <c r="B449" s="14"/>
      <c r="C449" s="14"/>
    </row>
    <row r="450" spans="2:3" x14ac:dyDescent="0.25">
      <c r="B450" s="14"/>
      <c r="C450" s="14"/>
    </row>
    <row r="451" spans="2:3" x14ac:dyDescent="0.25">
      <c r="B451" s="14"/>
      <c r="C451" s="14"/>
    </row>
    <row r="452" spans="2:3" x14ac:dyDescent="0.25">
      <c r="B452" s="14"/>
      <c r="C452" s="14"/>
    </row>
    <row r="453" spans="2:3" x14ac:dyDescent="0.25">
      <c r="B453" s="14"/>
      <c r="C453" s="14"/>
    </row>
    <row r="454" spans="2:3" x14ac:dyDescent="0.25">
      <c r="B454" s="14"/>
      <c r="C454" s="14"/>
    </row>
    <row r="455" spans="2:3" x14ac:dyDescent="0.25">
      <c r="B455" s="14"/>
      <c r="C455" s="14"/>
    </row>
    <row r="456" spans="2:3" x14ac:dyDescent="0.25">
      <c r="B456" s="14"/>
      <c r="C456" s="14"/>
    </row>
    <row r="457" spans="2:3" x14ac:dyDescent="0.25">
      <c r="B457" s="14"/>
      <c r="C457" s="14"/>
    </row>
    <row r="458" spans="2:3" x14ac:dyDescent="0.25">
      <c r="B458" s="14"/>
      <c r="C458" s="14"/>
    </row>
    <row r="459" spans="2:3" x14ac:dyDescent="0.25">
      <c r="B459" s="14"/>
      <c r="C459" s="14"/>
    </row>
    <row r="460" spans="2:3" x14ac:dyDescent="0.25">
      <c r="B460" s="14"/>
      <c r="C460" s="14"/>
    </row>
    <row r="461" spans="2:3" x14ac:dyDescent="0.25">
      <c r="B461" s="14"/>
      <c r="C461" s="14"/>
    </row>
    <row r="462" spans="2:3" x14ac:dyDescent="0.25">
      <c r="B462" s="14"/>
      <c r="C462" s="14"/>
    </row>
    <row r="463" spans="2:3" x14ac:dyDescent="0.25">
      <c r="B463" s="14"/>
      <c r="C463" s="14"/>
    </row>
    <row r="464" spans="2:3" x14ac:dyDescent="0.25">
      <c r="B464" s="14"/>
      <c r="C464" s="14"/>
    </row>
    <row r="465" spans="2:3" x14ac:dyDescent="0.25">
      <c r="B465" s="14"/>
      <c r="C465" s="14"/>
    </row>
    <row r="466" spans="2:3" x14ac:dyDescent="0.25">
      <c r="B466" s="14"/>
      <c r="C466" s="14"/>
    </row>
    <row r="467" spans="2:3" x14ac:dyDescent="0.25">
      <c r="B467" s="14"/>
      <c r="C467" s="14"/>
    </row>
    <row r="468" spans="2:3" x14ac:dyDescent="0.25">
      <c r="B468" s="14"/>
      <c r="C468" s="14"/>
    </row>
    <row r="469" spans="2:3" x14ac:dyDescent="0.25">
      <c r="B469" s="14"/>
      <c r="C469" s="14"/>
    </row>
    <row r="470" spans="2:3" x14ac:dyDescent="0.25">
      <c r="B470" s="14"/>
      <c r="C470" s="14"/>
    </row>
    <row r="471" spans="2:3" x14ac:dyDescent="0.25">
      <c r="B471" s="14"/>
      <c r="C471" s="14"/>
    </row>
    <row r="472" spans="2:3" x14ac:dyDescent="0.25">
      <c r="B472" s="14"/>
      <c r="C472" s="14"/>
    </row>
    <row r="473" spans="2:3" x14ac:dyDescent="0.25">
      <c r="B473" s="14"/>
      <c r="C473" s="14"/>
    </row>
    <row r="474" spans="2:3" x14ac:dyDescent="0.25">
      <c r="B474" s="14"/>
      <c r="C474" s="14"/>
    </row>
    <row r="475" spans="2:3" x14ac:dyDescent="0.25">
      <c r="B475" s="14"/>
      <c r="C475" s="14"/>
    </row>
    <row r="476" spans="2:3" x14ac:dyDescent="0.25">
      <c r="B476" s="14"/>
      <c r="C476" s="14"/>
    </row>
    <row r="477" spans="2:3" x14ac:dyDescent="0.25">
      <c r="B477" s="14"/>
      <c r="C477" s="14"/>
    </row>
    <row r="478" spans="2:3" x14ac:dyDescent="0.25">
      <c r="B478" s="14"/>
      <c r="C478" s="14"/>
    </row>
    <row r="479" spans="2:3" x14ac:dyDescent="0.25">
      <c r="B479" s="14"/>
      <c r="C479" s="14"/>
    </row>
    <row r="480" spans="2:3" x14ac:dyDescent="0.25">
      <c r="B480" s="14"/>
      <c r="C480" s="14"/>
    </row>
    <row r="481" spans="2:3" x14ac:dyDescent="0.25">
      <c r="B481" s="14"/>
      <c r="C481" s="14"/>
    </row>
    <row r="482" spans="2:3" x14ac:dyDescent="0.25">
      <c r="B482" s="14"/>
      <c r="C482" s="14"/>
    </row>
    <row r="483" spans="2:3" x14ac:dyDescent="0.25">
      <c r="B483" s="14"/>
      <c r="C483" s="14"/>
    </row>
    <row r="484" spans="2:3" x14ac:dyDescent="0.25">
      <c r="B484" s="14"/>
      <c r="C484" s="14"/>
    </row>
    <row r="485" spans="2:3" x14ac:dyDescent="0.25">
      <c r="B485" s="14"/>
      <c r="C485" s="14"/>
    </row>
    <row r="486" spans="2:3" x14ac:dyDescent="0.25">
      <c r="B486" s="14"/>
      <c r="C486" s="14"/>
    </row>
    <row r="487" spans="2:3" x14ac:dyDescent="0.25">
      <c r="B487" s="14"/>
      <c r="C487" s="14"/>
    </row>
    <row r="488" spans="2:3" x14ac:dyDescent="0.25">
      <c r="B488" s="14"/>
      <c r="C488" s="14"/>
    </row>
    <row r="489" spans="2:3" x14ac:dyDescent="0.25">
      <c r="B489" s="14"/>
      <c r="C489" s="14"/>
    </row>
    <row r="490" spans="2:3" x14ac:dyDescent="0.25">
      <c r="B490" s="14"/>
      <c r="C490" s="14"/>
    </row>
    <row r="491" spans="2:3" x14ac:dyDescent="0.25">
      <c r="B491" s="14"/>
      <c r="C491" s="14"/>
    </row>
    <row r="492" spans="2:3" x14ac:dyDescent="0.25">
      <c r="B492" s="14"/>
      <c r="C492" s="14"/>
    </row>
    <row r="493" spans="2:3" x14ac:dyDescent="0.25">
      <c r="B493" s="14"/>
      <c r="C493" s="14"/>
    </row>
    <row r="494" spans="2:3" x14ac:dyDescent="0.25">
      <c r="B494" s="14"/>
      <c r="C494" s="14"/>
    </row>
    <row r="495" spans="2:3" x14ac:dyDescent="0.25">
      <c r="B495" s="14"/>
      <c r="C495" s="14"/>
    </row>
    <row r="496" spans="2:3" x14ac:dyDescent="0.25">
      <c r="B496" s="14"/>
      <c r="C496" s="14"/>
    </row>
    <row r="497" spans="2:3" x14ac:dyDescent="0.25">
      <c r="B497" s="14"/>
      <c r="C497" s="14"/>
    </row>
    <row r="498" spans="2:3" x14ac:dyDescent="0.25">
      <c r="B498" s="14"/>
      <c r="C498" s="14"/>
    </row>
    <row r="499" spans="2:3" x14ac:dyDescent="0.25">
      <c r="B499" s="14"/>
      <c r="C499" s="14"/>
    </row>
    <row r="500" spans="2:3" x14ac:dyDescent="0.25">
      <c r="B500" s="14"/>
      <c r="C500" s="14"/>
    </row>
    <row r="501" spans="2:3" x14ac:dyDescent="0.25">
      <c r="B501" s="14"/>
      <c r="C501" s="14"/>
    </row>
    <row r="502" spans="2:3" x14ac:dyDescent="0.25">
      <c r="B502" s="14"/>
      <c r="C502" s="14"/>
    </row>
    <row r="503" spans="2:3" x14ac:dyDescent="0.25">
      <c r="B503" s="14"/>
      <c r="C503" s="14"/>
    </row>
    <row r="504" spans="2:3" x14ac:dyDescent="0.25">
      <c r="B504" s="14"/>
      <c r="C504" s="14"/>
    </row>
    <row r="505" spans="2:3" x14ac:dyDescent="0.25">
      <c r="B505" s="14"/>
      <c r="C505" s="14"/>
    </row>
    <row r="506" spans="2:3" x14ac:dyDescent="0.25">
      <c r="B506" s="14"/>
      <c r="C506" s="14"/>
    </row>
    <row r="507" spans="2:3" x14ac:dyDescent="0.25">
      <c r="B507" s="14"/>
      <c r="C507" s="14"/>
    </row>
    <row r="508" spans="2:3" x14ac:dyDescent="0.25">
      <c r="B508" s="14"/>
      <c r="C508" s="14"/>
    </row>
    <row r="509" spans="2:3" x14ac:dyDescent="0.25">
      <c r="B509" s="14"/>
      <c r="C509" s="14"/>
    </row>
    <row r="510" spans="2:3" x14ac:dyDescent="0.25">
      <c r="B510" s="14"/>
      <c r="C510" s="14"/>
    </row>
    <row r="511" spans="2:3" x14ac:dyDescent="0.25">
      <c r="B511" s="14"/>
      <c r="C511" s="14"/>
    </row>
    <row r="512" spans="2:3" x14ac:dyDescent="0.25">
      <c r="B512" s="14"/>
      <c r="C512" s="14"/>
    </row>
    <row r="513" spans="2:3" x14ac:dyDescent="0.25">
      <c r="B513" s="14"/>
      <c r="C513" s="14"/>
    </row>
    <row r="514" spans="2:3" x14ac:dyDescent="0.25">
      <c r="B514" s="14"/>
      <c r="C514" s="14"/>
    </row>
    <row r="515" spans="2:3" x14ac:dyDescent="0.25">
      <c r="B515" s="14"/>
      <c r="C515" s="14"/>
    </row>
    <row r="516" spans="2:3" x14ac:dyDescent="0.25">
      <c r="B516" s="14"/>
      <c r="C516" s="14"/>
    </row>
    <row r="517" spans="2:3" x14ac:dyDescent="0.25">
      <c r="B517" s="14"/>
      <c r="C517" s="14"/>
    </row>
    <row r="518" spans="2:3" x14ac:dyDescent="0.25">
      <c r="B518" s="14"/>
      <c r="C518" s="14"/>
    </row>
    <row r="519" spans="2:3" x14ac:dyDescent="0.25">
      <c r="B519" s="14"/>
      <c r="C519" s="14"/>
    </row>
    <row r="520" spans="2:3" x14ac:dyDescent="0.25">
      <c r="B520" s="14"/>
      <c r="C520" s="14"/>
    </row>
    <row r="521" spans="2:3" x14ac:dyDescent="0.25">
      <c r="B521" s="14"/>
      <c r="C521" s="14"/>
    </row>
    <row r="522" spans="2:3" x14ac:dyDescent="0.25">
      <c r="B522" s="14"/>
      <c r="C522" s="14"/>
    </row>
    <row r="523" spans="2:3" x14ac:dyDescent="0.25">
      <c r="B523" s="14"/>
      <c r="C523" s="14"/>
    </row>
    <row r="524" spans="2:3" x14ac:dyDescent="0.25">
      <c r="B524" s="14"/>
      <c r="C524" s="14"/>
    </row>
    <row r="525" spans="2:3" x14ac:dyDescent="0.25">
      <c r="B525" s="14"/>
      <c r="C525" s="14"/>
    </row>
    <row r="526" spans="2:3" x14ac:dyDescent="0.25">
      <c r="B526" s="14"/>
      <c r="C526" s="14"/>
    </row>
    <row r="527" spans="2:3" x14ac:dyDescent="0.25">
      <c r="B527" s="14"/>
      <c r="C527" s="14"/>
    </row>
    <row r="528" spans="2:3" x14ac:dyDescent="0.25">
      <c r="B528" s="14"/>
      <c r="C528" s="14"/>
    </row>
    <row r="529" spans="2:3" x14ac:dyDescent="0.25">
      <c r="B529" s="14"/>
      <c r="C529" s="14"/>
    </row>
    <row r="530" spans="2:3" x14ac:dyDescent="0.25">
      <c r="B530" s="14"/>
      <c r="C530" s="14"/>
    </row>
    <row r="531" spans="2:3" x14ac:dyDescent="0.25">
      <c r="B531" s="14"/>
      <c r="C531" s="14"/>
    </row>
    <row r="532" spans="2:3" x14ac:dyDescent="0.25">
      <c r="B532" s="14"/>
      <c r="C532" s="14"/>
    </row>
    <row r="533" spans="2:3" x14ac:dyDescent="0.25">
      <c r="B533" s="14"/>
      <c r="C533" s="14"/>
    </row>
    <row r="534" spans="2:3" x14ac:dyDescent="0.25">
      <c r="B534" s="14"/>
      <c r="C534" s="14"/>
    </row>
    <row r="535" spans="2:3" x14ac:dyDescent="0.25">
      <c r="B535" s="14"/>
      <c r="C535" s="14"/>
    </row>
    <row r="536" spans="2:3" x14ac:dyDescent="0.25">
      <c r="B536" s="14"/>
      <c r="C536" s="14"/>
    </row>
    <row r="537" spans="2:3" x14ac:dyDescent="0.25">
      <c r="B537" s="14"/>
      <c r="C537" s="14"/>
    </row>
    <row r="538" spans="2:3" x14ac:dyDescent="0.25">
      <c r="B538" s="14"/>
      <c r="C538" s="14"/>
    </row>
    <row r="539" spans="2:3" x14ac:dyDescent="0.25">
      <c r="B539" s="14"/>
      <c r="C539" s="14"/>
    </row>
    <row r="540" spans="2:3" x14ac:dyDescent="0.25">
      <c r="B540" s="14"/>
      <c r="C540" s="14"/>
    </row>
    <row r="541" spans="2:3" x14ac:dyDescent="0.25">
      <c r="B541" s="14"/>
      <c r="C541" s="14"/>
    </row>
    <row r="542" spans="2:3" x14ac:dyDescent="0.25">
      <c r="B542" s="14"/>
      <c r="C542" s="14"/>
    </row>
    <row r="543" spans="2:3" x14ac:dyDescent="0.25">
      <c r="B543" s="14"/>
      <c r="C543" s="14"/>
    </row>
    <row r="544" spans="2:3" x14ac:dyDescent="0.25">
      <c r="B544" s="14"/>
      <c r="C544" s="14"/>
    </row>
    <row r="545" spans="2:3" x14ac:dyDescent="0.25">
      <c r="B545" s="14"/>
      <c r="C545" s="14"/>
    </row>
    <row r="546" spans="2:3" x14ac:dyDescent="0.25">
      <c r="B546" s="14"/>
      <c r="C546" s="14"/>
    </row>
    <row r="547" spans="2:3" x14ac:dyDescent="0.25">
      <c r="B547" s="14"/>
      <c r="C547" s="14"/>
    </row>
    <row r="548" spans="2:3" x14ac:dyDescent="0.25">
      <c r="B548" s="14"/>
      <c r="C548" s="14"/>
    </row>
    <row r="549" spans="2:3" x14ac:dyDescent="0.25">
      <c r="B549" s="14"/>
      <c r="C549" s="14"/>
    </row>
    <row r="550" spans="2:3" x14ac:dyDescent="0.25">
      <c r="B550" s="14"/>
      <c r="C550" s="14"/>
    </row>
    <row r="551" spans="2:3" x14ac:dyDescent="0.25">
      <c r="B551" s="14"/>
      <c r="C551" s="14"/>
    </row>
    <row r="552" spans="2:3" x14ac:dyDescent="0.25">
      <c r="B552" s="14"/>
      <c r="C552" s="14"/>
    </row>
    <row r="553" spans="2:3" x14ac:dyDescent="0.25">
      <c r="B553" s="14"/>
      <c r="C553" s="14"/>
    </row>
    <row r="554" spans="2:3" x14ac:dyDescent="0.25">
      <c r="B554" s="14"/>
      <c r="C554" s="14"/>
    </row>
    <row r="555" spans="2:3" x14ac:dyDescent="0.25">
      <c r="B555" s="14"/>
      <c r="C555" s="14"/>
    </row>
    <row r="556" spans="2:3" x14ac:dyDescent="0.25">
      <c r="B556" s="14"/>
      <c r="C556" s="14"/>
    </row>
    <row r="557" spans="2:3" x14ac:dyDescent="0.25">
      <c r="B557" s="14"/>
      <c r="C557" s="14"/>
    </row>
    <row r="558" spans="2:3" x14ac:dyDescent="0.25">
      <c r="B558" s="14"/>
      <c r="C558" s="14"/>
    </row>
    <row r="559" spans="2:3" x14ac:dyDescent="0.25">
      <c r="B559" s="14"/>
      <c r="C559" s="14"/>
    </row>
    <row r="560" spans="2:3" x14ac:dyDescent="0.25">
      <c r="B560" s="14"/>
      <c r="C560" s="14"/>
    </row>
    <row r="561" spans="2:3" x14ac:dyDescent="0.25">
      <c r="B561" s="14"/>
      <c r="C561" s="14"/>
    </row>
    <row r="562" spans="2:3" x14ac:dyDescent="0.25">
      <c r="B562" s="14"/>
      <c r="C562" s="14"/>
    </row>
    <row r="563" spans="2:3" x14ac:dyDescent="0.25">
      <c r="B563" s="14"/>
      <c r="C563" s="14"/>
    </row>
    <row r="564" spans="2:3" x14ac:dyDescent="0.25">
      <c r="B564" s="14"/>
      <c r="C564" s="14"/>
    </row>
    <row r="565" spans="2:3" x14ac:dyDescent="0.25">
      <c r="B565" s="14"/>
      <c r="C565" s="14"/>
    </row>
    <row r="566" spans="2:3" x14ac:dyDescent="0.25">
      <c r="B566" s="14"/>
      <c r="C566" s="14"/>
    </row>
    <row r="567" spans="2:3" x14ac:dyDescent="0.25">
      <c r="B567" s="14"/>
      <c r="C567" s="14"/>
    </row>
    <row r="568" spans="2:3" x14ac:dyDescent="0.25">
      <c r="B568" s="14"/>
      <c r="C568" s="14"/>
    </row>
    <row r="569" spans="2:3" x14ac:dyDescent="0.25">
      <c r="B569" s="14"/>
      <c r="C569" s="14"/>
    </row>
    <row r="570" spans="2:3" x14ac:dyDescent="0.25">
      <c r="B570" s="14"/>
      <c r="C570" s="14"/>
    </row>
    <row r="571" spans="2:3" x14ac:dyDescent="0.25">
      <c r="B571" s="14"/>
      <c r="C571" s="14"/>
    </row>
    <row r="572" spans="2:3" x14ac:dyDescent="0.25">
      <c r="B572" s="14"/>
      <c r="C572" s="14"/>
    </row>
    <row r="573" spans="2:3" x14ac:dyDescent="0.25">
      <c r="B573" s="14"/>
      <c r="C573" s="14"/>
    </row>
    <row r="574" spans="2:3" x14ac:dyDescent="0.25">
      <c r="B574" s="14"/>
      <c r="C574" s="14"/>
    </row>
    <row r="575" spans="2:3" x14ac:dyDescent="0.25">
      <c r="B575" s="14"/>
      <c r="C575" s="14"/>
    </row>
    <row r="576" spans="2:3" x14ac:dyDescent="0.25">
      <c r="B576" s="14"/>
      <c r="C576" s="14"/>
    </row>
    <row r="577" spans="2:3" x14ac:dyDescent="0.25">
      <c r="B577" s="14"/>
      <c r="C577" s="14"/>
    </row>
    <row r="578" spans="2:3" x14ac:dyDescent="0.25">
      <c r="B578" s="14"/>
      <c r="C578" s="14"/>
    </row>
    <row r="579" spans="2:3" x14ac:dyDescent="0.25">
      <c r="B579" s="14"/>
      <c r="C579" s="14"/>
    </row>
    <row r="580" spans="2:3" x14ac:dyDescent="0.25">
      <c r="B580" s="14"/>
      <c r="C580" s="14"/>
    </row>
    <row r="581" spans="2:3" x14ac:dyDescent="0.25">
      <c r="B581" s="14"/>
      <c r="C581" s="14"/>
    </row>
    <row r="582" spans="2:3" x14ac:dyDescent="0.25">
      <c r="B582" s="14"/>
      <c r="C582" s="14"/>
    </row>
    <row r="583" spans="2:3" x14ac:dyDescent="0.25">
      <c r="B583" s="14"/>
      <c r="C583" s="14"/>
    </row>
    <row r="584" spans="2:3" x14ac:dyDescent="0.25">
      <c r="B584" s="14"/>
      <c r="C584" s="14"/>
    </row>
    <row r="585" spans="2:3" x14ac:dyDescent="0.25">
      <c r="B585" s="14"/>
      <c r="C585" s="14"/>
    </row>
    <row r="586" spans="2:3" x14ac:dyDescent="0.25">
      <c r="B586" s="14"/>
      <c r="C586" s="14"/>
    </row>
    <row r="587" spans="2:3" x14ac:dyDescent="0.25">
      <c r="B587" s="14"/>
      <c r="C587" s="14"/>
    </row>
    <row r="588" spans="2:3" x14ac:dyDescent="0.25">
      <c r="B588" s="14"/>
      <c r="C588" s="14"/>
    </row>
    <row r="589" spans="2:3" x14ac:dyDescent="0.25">
      <c r="B589" s="14"/>
      <c r="C589" s="14"/>
    </row>
    <row r="590" spans="2:3" x14ac:dyDescent="0.25">
      <c r="B590" s="14"/>
      <c r="C590" s="14"/>
    </row>
    <row r="591" spans="2:3" x14ac:dyDescent="0.25">
      <c r="B591" s="14"/>
      <c r="C591" s="14"/>
    </row>
    <row r="592" spans="2:3" x14ac:dyDescent="0.25">
      <c r="B592" s="14"/>
      <c r="C592" s="14"/>
    </row>
    <row r="593" spans="2:3" x14ac:dyDescent="0.25">
      <c r="B593" s="14"/>
      <c r="C593" s="14"/>
    </row>
    <row r="594" spans="2:3" x14ac:dyDescent="0.25">
      <c r="B594" s="14"/>
      <c r="C594" s="14"/>
    </row>
    <row r="595" spans="2:3" x14ac:dyDescent="0.25">
      <c r="B595" s="14"/>
      <c r="C595" s="14"/>
    </row>
    <row r="596" spans="2:3" x14ac:dyDescent="0.25">
      <c r="B596" s="14"/>
      <c r="C596" s="14"/>
    </row>
    <row r="597" spans="2:3" x14ac:dyDescent="0.25">
      <c r="B597" s="14"/>
      <c r="C597" s="14"/>
    </row>
    <row r="598" spans="2:3" x14ac:dyDescent="0.25">
      <c r="B598" s="14"/>
      <c r="C598" s="14"/>
    </row>
    <row r="599" spans="2:3" x14ac:dyDescent="0.25">
      <c r="B599" s="14"/>
      <c r="C599" s="14"/>
    </row>
    <row r="600" spans="2:3" x14ac:dyDescent="0.25">
      <c r="B600" s="14"/>
      <c r="C600" s="14"/>
    </row>
    <row r="601" spans="2:3" x14ac:dyDescent="0.25">
      <c r="B601" s="14"/>
      <c r="C601" s="14"/>
    </row>
    <row r="602" spans="2:3" x14ac:dyDescent="0.25">
      <c r="B602" s="14"/>
      <c r="C602" s="14"/>
    </row>
    <row r="603" spans="2:3" x14ac:dyDescent="0.25">
      <c r="B603" s="14"/>
      <c r="C603" s="14"/>
    </row>
    <row r="604" spans="2:3" x14ac:dyDescent="0.25">
      <c r="B604" s="14"/>
      <c r="C604" s="14"/>
    </row>
    <row r="605" spans="2:3" x14ac:dyDescent="0.25">
      <c r="B605" s="14"/>
      <c r="C605" s="14"/>
    </row>
    <row r="606" spans="2:3" x14ac:dyDescent="0.25">
      <c r="B606" s="14"/>
      <c r="C606" s="14"/>
    </row>
    <row r="607" spans="2:3" x14ac:dyDescent="0.25">
      <c r="B607" s="14"/>
      <c r="C607" s="14"/>
    </row>
    <row r="608" spans="2:3" x14ac:dyDescent="0.25">
      <c r="B608" s="14"/>
      <c r="C608" s="14"/>
    </row>
    <row r="609" spans="2:3" x14ac:dyDescent="0.25">
      <c r="B609" s="14"/>
      <c r="C609" s="14"/>
    </row>
    <row r="610" spans="2:3" x14ac:dyDescent="0.25">
      <c r="B610" s="14"/>
      <c r="C610" s="14"/>
    </row>
    <row r="611" spans="2:3" x14ac:dyDescent="0.25">
      <c r="B611" s="14"/>
      <c r="C611" s="14"/>
    </row>
    <row r="612" spans="2:3" x14ac:dyDescent="0.25">
      <c r="B612" s="14"/>
      <c r="C612" s="14"/>
    </row>
    <row r="613" spans="2:3" x14ac:dyDescent="0.25">
      <c r="B613" s="14"/>
      <c r="C613" s="14"/>
    </row>
    <row r="614" spans="2:3" x14ac:dyDescent="0.25">
      <c r="B614" s="14"/>
      <c r="C614" s="14"/>
    </row>
    <row r="615" spans="2:3" x14ac:dyDescent="0.25">
      <c r="B615" s="14"/>
      <c r="C615" s="14"/>
    </row>
    <row r="616" spans="2:3" x14ac:dyDescent="0.25">
      <c r="B616" s="14"/>
      <c r="C616" s="14"/>
    </row>
    <row r="617" spans="2:3" x14ac:dyDescent="0.25">
      <c r="B617" s="14"/>
      <c r="C617" s="14"/>
    </row>
    <row r="618" spans="2:3" x14ac:dyDescent="0.25">
      <c r="B618" s="14"/>
      <c r="C618" s="14"/>
    </row>
    <row r="619" spans="2:3" x14ac:dyDescent="0.25">
      <c r="B619" s="14"/>
      <c r="C619" s="14"/>
    </row>
    <row r="620" spans="2:3" x14ac:dyDescent="0.25">
      <c r="B620" s="14"/>
      <c r="C620" s="14"/>
    </row>
    <row r="621" spans="2:3" x14ac:dyDescent="0.25">
      <c r="B621" s="14"/>
      <c r="C621" s="14"/>
    </row>
    <row r="622" spans="2:3" x14ac:dyDescent="0.25">
      <c r="B622" s="14"/>
      <c r="C622" s="14"/>
    </row>
    <row r="623" spans="2:3" x14ac:dyDescent="0.25">
      <c r="B623" s="14"/>
      <c r="C623" s="14"/>
    </row>
    <row r="624" spans="2:3" x14ac:dyDescent="0.25">
      <c r="B624" s="14"/>
      <c r="C624" s="14"/>
    </row>
    <row r="625" spans="2:3" x14ac:dyDescent="0.25">
      <c r="B625" s="14"/>
      <c r="C625" s="14"/>
    </row>
    <row r="626" spans="2:3" x14ac:dyDescent="0.25">
      <c r="B626" s="14"/>
      <c r="C626" s="14"/>
    </row>
    <row r="627" spans="2:3" x14ac:dyDescent="0.25">
      <c r="B627" s="14"/>
      <c r="C627" s="14"/>
    </row>
    <row r="628" spans="2:3" x14ac:dyDescent="0.25">
      <c r="B628" s="14"/>
      <c r="C628" s="14"/>
    </row>
    <row r="629" spans="2:3" x14ac:dyDescent="0.25">
      <c r="B629" s="14"/>
      <c r="C629" s="14"/>
    </row>
    <row r="630" spans="2:3" x14ac:dyDescent="0.25">
      <c r="B630" s="14"/>
      <c r="C630" s="14"/>
    </row>
    <row r="631" spans="2:3" x14ac:dyDescent="0.25">
      <c r="B631" s="14"/>
      <c r="C631" s="14"/>
    </row>
    <row r="632" spans="2:3" x14ac:dyDescent="0.25">
      <c r="B632" s="14"/>
      <c r="C632" s="14"/>
    </row>
    <row r="633" spans="2:3" x14ac:dyDescent="0.25">
      <c r="B633" s="14"/>
      <c r="C633" s="14"/>
    </row>
    <row r="634" spans="2:3" x14ac:dyDescent="0.25">
      <c r="B634" s="14"/>
      <c r="C634" s="14"/>
    </row>
    <row r="635" spans="2:3" x14ac:dyDescent="0.25">
      <c r="B635" s="14"/>
      <c r="C635" s="14"/>
    </row>
    <row r="636" spans="2:3" x14ac:dyDescent="0.25">
      <c r="B636" s="14"/>
      <c r="C636" s="14"/>
    </row>
    <row r="637" spans="2:3" x14ac:dyDescent="0.25">
      <c r="B637" s="14"/>
      <c r="C637" s="14"/>
    </row>
    <row r="638" spans="2:3" x14ac:dyDescent="0.25">
      <c r="B638" s="14"/>
      <c r="C638" s="14"/>
    </row>
    <row r="639" spans="2:3" x14ac:dyDescent="0.25">
      <c r="B639" s="14"/>
      <c r="C639" s="14"/>
    </row>
    <row r="640" spans="2:3" x14ac:dyDescent="0.25">
      <c r="B640" s="14"/>
      <c r="C640" s="14"/>
    </row>
    <row r="641" spans="2:3" x14ac:dyDescent="0.25">
      <c r="B641" s="14"/>
      <c r="C641" s="14"/>
    </row>
    <row r="642" spans="2:3" x14ac:dyDescent="0.25">
      <c r="B642" s="14"/>
      <c r="C642" s="14"/>
    </row>
    <row r="643" spans="2:3" x14ac:dyDescent="0.25">
      <c r="B643" s="14"/>
      <c r="C643" s="14"/>
    </row>
    <row r="644" spans="2:3" x14ac:dyDescent="0.25">
      <c r="B644" s="14"/>
      <c r="C644" s="14"/>
    </row>
    <row r="645" spans="2:3" x14ac:dyDescent="0.25">
      <c r="B645" s="14"/>
      <c r="C645" s="14"/>
    </row>
    <row r="646" spans="2:3" x14ac:dyDescent="0.25">
      <c r="B646" s="14"/>
      <c r="C646" s="14"/>
    </row>
    <row r="647" spans="2:3" x14ac:dyDescent="0.25">
      <c r="B647" s="14"/>
      <c r="C647" s="14"/>
    </row>
    <row r="648" spans="2:3" x14ac:dyDescent="0.25">
      <c r="B648" s="14"/>
      <c r="C648" s="14"/>
    </row>
    <row r="649" spans="2:3" x14ac:dyDescent="0.25">
      <c r="B649" s="14"/>
      <c r="C649" s="14"/>
    </row>
    <row r="650" spans="2:3" x14ac:dyDescent="0.25">
      <c r="B650" s="14"/>
      <c r="C650" s="14"/>
    </row>
    <row r="651" spans="2:3" x14ac:dyDescent="0.25">
      <c r="B651" s="14"/>
      <c r="C651" s="14"/>
    </row>
    <row r="652" spans="2:3" x14ac:dyDescent="0.25">
      <c r="B652" s="14"/>
      <c r="C652" s="14"/>
    </row>
    <row r="653" spans="2:3" x14ac:dyDescent="0.25">
      <c r="B653" s="14"/>
      <c r="C653" s="14"/>
    </row>
    <row r="654" spans="2:3" x14ac:dyDescent="0.25">
      <c r="B654" s="14"/>
      <c r="C654" s="14"/>
    </row>
    <row r="655" spans="2:3" x14ac:dyDescent="0.25">
      <c r="B655" s="14"/>
      <c r="C655" s="14"/>
    </row>
    <row r="656" spans="2:3" x14ac:dyDescent="0.25">
      <c r="B656" s="14"/>
      <c r="C656" s="14"/>
    </row>
    <row r="657" spans="2:3" x14ac:dyDescent="0.25">
      <c r="B657" s="14"/>
      <c r="C657" s="14"/>
    </row>
    <row r="658" spans="2:3" x14ac:dyDescent="0.25">
      <c r="B658" s="14"/>
      <c r="C658" s="14"/>
    </row>
    <row r="659" spans="2:3" x14ac:dyDescent="0.25">
      <c r="B659" s="14"/>
      <c r="C659" s="14"/>
    </row>
    <row r="660" spans="2:3" x14ac:dyDescent="0.25">
      <c r="B660" s="14"/>
      <c r="C660" s="14"/>
    </row>
    <row r="661" spans="2:3" x14ac:dyDescent="0.25">
      <c r="B661" s="14"/>
      <c r="C661" s="14"/>
    </row>
    <row r="662" spans="2:3" x14ac:dyDescent="0.25">
      <c r="B662" s="14"/>
      <c r="C662" s="14"/>
    </row>
    <row r="663" spans="2:3" x14ac:dyDescent="0.25">
      <c r="B663" s="14"/>
      <c r="C663" s="14"/>
    </row>
    <row r="664" spans="2:3" x14ac:dyDescent="0.25">
      <c r="B664" s="14"/>
      <c r="C664" s="14"/>
    </row>
    <row r="665" spans="2:3" x14ac:dyDescent="0.25">
      <c r="B665" s="14"/>
      <c r="C665" s="14"/>
    </row>
    <row r="666" spans="2:3" x14ac:dyDescent="0.25">
      <c r="B666" s="14"/>
      <c r="C666" s="14"/>
    </row>
    <row r="667" spans="2:3" x14ac:dyDescent="0.25">
      <c r="B667" s="14"/>
      <c r="C667" s="14"/>
    </row>
    <row r="668" spans="2:3" x14ac:dyDescent="0.25">
      <c r="B668" s="14"/>
      <c r="C668" s="14"/>
    </row>
    <row r="669" spans="2:3" x14ac:dyDescent="0.25">
      <c r="B669" s="14"/>
      <c r="C669" s="14"/>
    </row>
    <row r="670" spans="2:3" x14ac:dyDescent="0.25">
      <c r="B670" s="14"/>
      <c r="C670" s="14"/>
    </row>
    <row r="671" spans="2:3" x14ac:dyDescent="0.25">
      <c r="B671" s="14"/>
      <c r="C671" s="14"/>
    </row>
    <row r="672" spans="2:3" x14ac:dyDescent="0.25">
      <c r="B672" s="14"/>
      <c r="C672" s="14"/>
    </row>
    <row r="673" spans="2:3" x14ac:dyDescent="0.25">
      <c r="B673" s="14"/>
      <c r="C673" s="14"/>
    </row>
    <row r="674" spans="2:3" x14ac:dyDescent="0.25">
      <c r="B674" s="14"/>
      <c r="C674" s="14"/>
    </row>
    <row r="675" spans="2:3" x14ac:dyDescent="0.25">
      <c r="B675" s="14"/>
      <c r="C675" s="14"/>
    </row>
    <row r="676" spans="2:3" x14ac:dyDescent="0.25">
      <c r="B676" s="14"/>
      <c r="C676" s="14"/>
    </row>
    <row r="677" spans="2:3" x14ac:dyDescent="0.25">
      <c r="B677" s="14"/>
      <c r="C677" s="14"/>
    </row>
    <row r="678" spans="2:3" x14ac:dyDescent="0.25">
      <c r="B678" s="14"/>
      <c r="C678" s="14"/>
    </row>
    <row r="679" spans="2:3" x14ac:dyDescent="0.25">
      <c r="B679" s="14"/>
      <c r="C679" s="14"/>
    </row>
    <row r="680" spans="2:3" x14ac:dyDescent="0.25">
      <c r="B680" s="14"/>
      <c r="C680" s="14"/>
    </row>
    <row r="681" spans="2:3" x14ac:dyDescent="0.25">
      <c r="B681" s="14"/>
      <c r="C681" s="14"/>
    </row>
    <row r="682" spans="2:3" x14ac:dyDescent="0.25">
      <c r="B682" s="14"/>
      <c r="C682" s="14"/>
    </row>
    <row r="683" spans="2:3" x14ac:dyDescent="0.25">
      <c r="B683" s="14"/>
      <c r="C683" s="14"/>
    </row>
    <row r="684" spans="2:3" x14ac:dyDescent="0.25">
      <c r="B684" s="14"/>
      <c r="C684" s="14"/>
    </row>
    <row r="685" spans="2:3" x14ac:dyDescent="0.25">
      <c r="B685" s="14"/>
      <c r="C685" s="14"/>
    </row>
    <row r="686" spans="2:3" x14ac:dyDescent="0.25">
      <c r="B686" s="14"/>
      <c r="C686" s="14"/>
    </row>
    <row r="687" spans="2:3" x14ac:dyDescent="0.25">
      <c r="B687" s="14"/>
      <c r="C687" s="14"/>
    </row>
    <row r="688" spans="2:3" x14ac:dyDescent="0.25">
      <c r="B688" s="14"/>
      <c r="C688" s="14"/>
    </row>
    <row r="689" spans="2:3" x14ac:dyDescent="0.25">
      <c r="B689" s="14"/>
      <c r="C689" s="14"/>
    </row>
    <row r="690" spans="2:3" x14ac:dyDescent="0.25">
      <c r="B690" s="14"/>
      <c r="C690" s="14"/>
    </row>
    <row r="691" spans="2:3" x14ac:dyDescent="0.25">
      <c r="B691" s="14"/>
      <c r="C691" s="14"/>
    </row>
    <row r="692" spans="2:3" x14ac:dyDescent="0.25">
      <c r="B692" s="14"/>
      <c r="C692" s="14"/>
    </row>
    <row r="693" spans="2:3" x14ac:dyDescent="0.25">
      <c r="B693" s="14"/>
      <c r="C693" s="14"/>
    </row>
    <row r="694" spans="2:3" x14ac:dyDescent="0.25">
      <c r="B694" s="14"/>
      <c r="C694" s="14"/>
    </row>
    <row r="695" spans="2:3" x14ac:dyDescent="0.25">
      <c r="B695" s="14"/>
      <c r="C695" s="14"/>
    </row>
    <row r="696" spans="2:3" x14ac:dyDescent="0.25">
      <c r="B696" s="14"/>
      <c r="C696" s="14"/>
    </row>
    <row r="697" spans="2:3" x14ac:dyDescent="0.25">
      <c r="B697" s="14"/>
      <c r="C697" s="14"/>
    </row>
    <row r="698" spans="2:3" x14ac:dyDescent="0.25">
      <c r="B698" s="14"/>
      <c r="C698" s="14"/>
    </row>
    <row r="699" spans="2:3" x14ac:dyDescent="0.25">
      <c r="B699" s="14"/>
      <c r="C699" s="14"/>
    </row>
    <row r="700" spans="2:3" x14ac:dyDescent="0.25">
      <c r="B700" s="14"/>
      <c r="C700" s="14"/>
    </row>
    <row r="701" spans="2:3" x14ac:dyDescent="0.25">
      <c r="B701" s="14"/>
      <c r="C701" s="14"/>
    </row>
    <row r="702" spans="2:3" x14ac:dyDescent="0.25">
      <c r="B702" s="14"/>
      <c r="C702" s="14"/>
    </row>
    <row r="703" spans="2:3" x14ac:dyDescent="0.25">
      <c r="B703" s="14"/>
      <c r="C703" s="14"/>
    </row>
    <row r="704" spans="2:3" x14ac:dyDescent="0.25">
      <c r="B704" s="14"/>
      <c r="C704" s="14"/>
    </row>
    <row r="705" spans="2:3" x14ac:dyDescent="0.25">
      <c r="B705" s="14"/>
      <c r="C705" s="14"/>
    </row>
    <row r="706" spans="2:3" x14ac:dyDescent="0.25">
      <c r="B706" s="14"/>
      <c r="C706" s="14"/>
    </row>
    <row r="707" spans="2:3" x14ac:dyDescent="0.25">
      <c r="B707" s="14"/>
      <c r="C707" s="14"/>
    </row>
    <row r="708" spans="2:3" x14ac:dyDescent="0.25">
      <c r="B708" s="14"/>
      <c r="C708" s="14"/>
    </row>
    <row r="709" spans="2:3" x14ac:dyDescent="0.25">
      <c r="B709" s="14"/>
      <c r="C709" s="14"/>
    </row>
    <row r="710" spans="2:3" x14ac:dyDescent="0.25">
      <c r="B710" s="14"/>
      <c r="C710" s="14"/>
    </row>
    <row r="711" spans="2:3" x14ac:dyDescent="0.25">
      <c r="B711" s="14"/>
      <c r="C711" s="14"/>
    </row>
    <row r="712" spans="2:3" x14ac:dyDescent="0.25">
      <c r="B712" s="14"/>
      <c r="C712" s="14"/>
    </row>
    <row r="713" spans="2:3" x14ac:dyDescent="0.25">
      <c r="B713" s="14"/>
      <c r="C713" s="14"/>
    </row>
    <row r="714" spans="2:3" x14ac:dyDescent="0.25">
      <c r="B714" s="14"/>
      <c r="C714" s="14"/>
    </row>
    <row r="715" spans="2:3" x14ac:dyDescent="0.25">
      <c r="B715" s="14"/>
      <c r="C715" s="14"/>
    </row>
    <row r="716" spans="2:3" x14ac:dyDescent="0.25">
      <c r="B716" s="14"/>
      <c r="C716" s="14"/>
    </row>
    <row r="717" spans="2:3" x14ac:dyDescent="0.25">
      <c r="B717" s="14"/>
      <c r="C717" s="14"/>
    </row>
    <row r="718" spans="2:3" x14ac:dyDescent="0.25">
      <c r="B718" s="14"/>
      <c r="C718" s="14"/>
    </row>
    <row r="719" spans="2:3" x14ac:dyDescent="0.25">
      <c r="B719" s="14"/>
      <c r="C719" s="14"/>
    </row>
    <row r="720" spans="2:3" x14ac:dyDescent="0.25">
      <c r="B720" s="14"/>
      <c r="C720" s="14"/>
    </row>
    <row r="721" spans="2:3" x14ac:dyDescent="0.25">
      <c r="B721" s="14"/>
      <c r="C721" s="14"/>
    </row>
    <row r="722" spans="2:3" x14ac:dyDescent="0.25">
      <c r="B722" s="14"/>
      <c r="C722" s="14"/>
    </row>
    <row r="723" spans="2:3" x14ac:dyDescent="0.25">
      <c r="B723" s="14"/>
      <c r="C723" s="14"/>
    </row>
    <row r="724" spans="2:3" x14ac:dyDescent="0.25">
      <c r="B724" s="14"/>
      <c r="C724" s="14"/>
    </row>
    <row r="725" spans="2:3" x14ac:dyDescent="0.25">
      <c r="B725" s="14"/>
      <c r="C725" s="14"/>
    </row>
    <row r="726" spans="2:3" x14ac:dyDescent="0.25">
      <c r="B726" s="14"/>
      <c r="C726" s="14"/>
    </row>
    <row r="727" spans="2:3" x14ac:dyDescent="0.25">
      <c r="B727" s="14"/>
      <c r="C727" s="14"/>
    </row>
    <row r="728" spans="2:3" x14ac:dyDescent="0.25">
      <c r="B728" s="14"/>
      <c r="C728" s="14"/>
    </row>
    <row r="729" spans="2:3" x14ac:dyDescent="0.25">
      <c r="B729" s="14"/>
      <c r="C729" s="14"/>
    </row>
    <row r="730" spans="2:3" x14ac:dyDescent="0.25">
      <c r="B730" s="14"/>
      <c r="C730" s="14"/>
    </row>
    <row r="731" spans="2:3" x14ac:dyDescent="0.25">
      <c r="B731" s="14"/>
      <c r="C731" s="14"/>
    </row>
    <row r="732" spans="2:3" x14ac:dyDescent="0.25">
      <c r="B732" s="14"/>
      <c r="C732" s="14"/>
    </row>
    <row r="733" spans="2:3" x14ac:dyDescent="0.25">
      <c r="B733" s="14"/>
      <c r="C733" s="14"/>
    </row>
    <row r="734" spans="2:3" x14ac:dyDescent="0.25">
      <c r="B734" s="14"/>
      <c r="C734" s="14"/>
    </row>
    <row r="735" spans="2:3" x14ac:dyDescent="0.25">
      <c r="B735" s="14"/>
      <c r="C735" s="14"/>
    </row>
    <row r="736" spans="2:3" x14ac:dyDescent="0.25">
      <c r="B736" s="14"/>
      <c r="C736" s="14"/>
    </row>
    <row r="737" spans="2:3" x14ac:dyDescent="0.25">
      <c r="B737" s="14"/>
      <c r="C737" s="14"/>
    </row>
    <row r="738" spans="2:3" x14ac:dyDescent="0.25">
      <c r="B738" s="14"/>
      <c r="C738" s="14"/>
    </row>
    <row r="739" spans="2:3" x14ac:dyDescent="0.25">
      <c r="B739" s="14"/>
      <c r="C739" s="14"/>
    </row>
    <row r="740" spans="2:3" x14ac:dyDescent="0.25">
      <c r="B740" s="14"/>
      <c r="C740" s="14"/>
    </row>
    <row r="741" spans="2:3" x14ac:dyDescent="0.25">
      <c r="B741" s="14"/>
      <c r="C741" s="14"/>
    </row>
    <row r="742" spans="2:3" x14ac:dyDescent="0.25">
      <c r="B742" s="14"/>
      <c r="C742" s="14"/>
    </row>
    <row r="743" spans="2:3" x14ac:dyDescent="0.25">
      <c r="B743" s="14"/>
      <c r="C743" s="14"/>
    </row>
    <row r="744" spans="2:3" x14ac:dyDescent="0.25">
      <c r="B744" s="14"/>
      <c r="C744" s="14"/>
    </row>
    <row r="745" spans="2:3" x14ac:dyDescent="0.25">
      <c r="B745" s="14"/>
      <c r="C745" s="14"/>
    </row>
    <row r="746" spans="2:3" x14ac:dyDescent="0.25">
      <c r="B746" s="14"/>
      <c r="C746" s="14"/>
    </row>
    <row r="747" spans="2:3" x14ac:dyDescent="0.25">
      <c r="B747" s="14"/>
      <c r="C747" s="14"/>
    </row>
    <row r="748" spans="2:3" x14ac:dyDescent="0.25">
      <c r="B748" s="14"/>
      <c r="C748" s="14"/>
    </row>
    <row r="749" spans="2:3" x14ac:dyDescent="0.25">
      <c r="B749" s="14"/>
      <c r="C749" s="14"/>
    </row>
    <row r="750" spans="2:3" x14ac:dyDescent="0.25">
      <c r="B750" s="14"/>
      <c r="C750" s="14"/>
    </row>
    <row r="751" spans="2:3" x14ac:dyDescent="0.25">
      <c r="B751" s="14"/>
      <c r="C751" s="14"/>
    </row>
    <row r="752" spans="2:3" x14ac:dyDescent="0.25">
      <c r="B752" s="14"/>
      <c r="C752" s="14"/>
    </row>
    <row r="753" spans="2:3" x14ac:dyDescent="0.25">
      <c r="B753" s="14"/>
      <c r="C753" s="14"/>
    </row>
    <row r="754" spans="2:3" x14ac:dyDescent="0.25">
      <c r="B754" s="14"/>
      <c r="C754" s="14"/>
    </row>
    <row r="755" spans="2:3" x14ac:dyDescent="0.25">
      <c r="B755" s="14"/>
      <c r="C755" s="14"/>
    </row>
    <row r="756" spans="2:3" x14ac:dyDescent="0.25">
      <c r="B756" s="14"/>
      <c r="C756" s="14"/>
    </row>
  </sheetData>
  <sortState xmlns:xlrd2="http://schemas.microsoft.com/office/spreadsheetml/2017/richdata2" ref="A2:Q756">
    <sortCondition ref="G2:G756"/>
  </sortState>
  <conditionalFormatting sqref="B1">
    <cfRule type="duplicateValues" dxfId="254" priority="24"/>
    <cfRule type="duplicateValues" dxfId="253" priority="25"/>
    <cfRule type="duplicateValues" dxfId="252" priority="26"/>
    <cfRule type="duplicateValues" dxfId="251" priority="27"/>
    <cfRule type="duplicateValues" dxfId="250" priority="28"/>
    <cfRule type="duplicateValues" dxfId="249" priority="29"/>
    <cfRule type="duplicateValues" dxfId="248" priority="30"/>
    <cfRule type="duplicateValues" dxfId="247" priority="31"/>
    <cfRule type="duplicateValues" dxfId="246" priority="32"/>
    <cfRule type="duplicateValues" dxfId="245" priority="33"/>
    <cfRule type="duplicateValues" dxfId="244" priority="34"/>
    <cfRule type="duplicateValues" dxfId="243" priority="46"/>
    <cfRule type="duplicateValues" dxfId="242" priority="35"/>
    <cfRule type="duplicateValues" dxfId="241" priority="36"/>
    <cfRule type="duplicateValues" dxfId="240" priority="37"/>
    <cfRule type="duplicateValues" dxfId="239" priority="38"/>
    <cfRule type="duplicateValues" dxfId="238" priority="39"/>
    <cfRule type="duplicateValues" priority="40"/>
    <cfRule type="duplicateValues" dxfId="237" priority="41"/>
    <cfRule type="duplicateValues" dxfId="236" priority="42"/>
    <cfRule type="duplicateValues" dxfId="235" priority="43"/>
    <cfRule type="duplicateValues" dxfId="234" priority="44"/>
    <cfRule type="duplicateValues" dxfId="233" priority="45"/>
  </conditionalFormatting>
  <conditionalFormatting sqref="B2">
    <cfRule type="duplicateValues" dxfId="232" priority="47"/>
    <cfRule type="duplicateValues" dxfId="231" priority="48"/>
    <cfRule type="duplicateValues" dxfId="230" priority="49"/>
    <cfRule type="duplicateValues" dxfId="229" priority="50"/>
    <cfRule type="duplicateValues" dxfId="228" priority="51"/>
    <cfRule type="duplicateValues" dxfId="227" priority="57"/>
    <cfRule type="duplicateValues" dxfId="226" priority="58"/>
    <cfRule type="duplicateValues" dxfId="225" priority="59"/>
    <cfRule type="duplicateValues" dxfId="224" priority="62"/>
    <cfRule type="duplicateValues" dxfId="223" priority="63"/>
    <cfRule type="duplicateValues" dxfId="222" priority="64"/>
    <cfRule type="duplicateValues" dxfId="221" priority="65"/>
    <cfRule type="duplicateValues" dxfId="220" priority="66"/>
    <cfRule type="duplicateValues" dxfId="219" priority="67"/>
  </conditionalFormatting>
  <conditionalFormatting sqref="B3">
    <cfRule type="duplicateValues" dxfId="218" priority="77"/>
    <cfRule type="duplicateValues" dxfId="217" priority="78"/>
    <cfRule type="duplicateValues" dxfId="216" priority="79"/>
    <cfRule type="duplicateValues" dxfId="215" priority="80"/>
    <cfRule type="duplicateValues" dxfId="214" priority="81"/>
    <cfRule type="duplicateValues" dxfId="213" priority="84"/>
    <cfRule type="duplicateValues" dxfId="212" priority="85"/>
    <cfRule type="duplicateValues" dxfId="211" priority="86"/>
    <cfRule type="duplicateValues" dxfId="210" priority="89"/>
  </conditionalFormatting>
  <conditionalFormatting sqref="B4:B82 B84:B1048576">
    <cfRule type="duplicateValues" dxfId="209" priority="133"/>
    <cfRule type="duplicateValues" dxfId="208" priority="134"/>
    <cfRule type="duplicateValues" dxfId="207" priority="135"/>
    <cfRule type="duplicateValues" dxfId="206" priority="136"/>
    <cfRule type="duplicateValues" dxfId="205" priority="137"/>
  </conditionalFormatting>
  <conditionalFormatting sqref="B83">
    <cfRule type="duplicateValues" dxfId="204" priority="6"/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3"/>
    <cfRule type="duplicateValues" dxfId="197" priority="14"/>
    <cfRule type="duplicateValues" dxfId="196" priority="15"/>
    <cfRule type="duplicateValues" dxfId="195" priority="16"/>
    <cfRule type="duplicateValues" dxfId="194" priority="17"/>
    <cfRule type="duplicateValues" dxfId="193" priority="18"/>
    <cfRule type="duplicateValues" dxfId="192" priority="19"/>
    <cfRule type="duplicateValues" dxfId="191" priority="20"/>
    <cfRule type="duplicateValues" dxfId="190" priority="21"/>
    <cfRule type="duplicateValues" dxfId="189" priority="22"/>
    <cfRule type="duplicateValues" dxfId="188" priority="23"/>
    <cfRule type="duplicateValues" dxfId="187" priority="12"/>
    <cfRule type="duplicateValues" dxfId="186" priority="1"/>
    <cfRule type="duplicateValues" dxfId="185" priority="2"/>
    <cfRule type="duplicateValues" dxfId="184" priority="3"/>
    <cfRule type="duplicateValues" dxfId="183" priority="4"/>
    <cfRule type="duplicateValues" dxfId="182" priority="5"/>
  </conditionalFormatting>
  <conditionalFormatting sqref="B84:B1048576 B4:B8">
    <cfRule type="duplicateValues" dxfId="181" priority="141"/>
  </conditionalFormatting>
  <conditionalFormatting sqref="B84:B1048576 B4:B32">
    <cfRule type="duplicateValues" dxfId="180" priority="140"/>
  </conditionalFormatting>
  <conditionalFormatting sqref="B84:B1048576 B4:B42">
    <cfRule type="duplicateValues" dxfId="179" priority="139"/>
  </conditionalFormatting>
  <conditionalFormatting sqref="B84:B1048576 B4:B61">
    <cfRule type="duplicateValues" dxfId="178" priority="138"/>
  </conditionalFormatting>
  <conditionalFormatting sqref="B84:B1048576">
    <cfRule type="duplicateValues" dxfId="177" priority="144"/>
    <cfRule type="duplicateValues" dxfId="176" priority="145"/>
    <cfRule type="duplicateValues" dxfId="175" priority="146"/>
    <cfRule type="duplicateValues" dxfId="174" priority="152"/>
  </conditionalFormatting>
  <conditionalFormatting sqref="B757:B1048576">
    <cfRule type="duplicateValues" dxfId="173" priority="153"/>
    <cfRule type="duplicateValues" dxfId="172" priority="154"/>
    <cfRule type="duplicateValues" dxfId="171" priority="155"/>
    <cfRule type="duplicateValues" dxfId="170" priority="156"/>
    <cfRule type="duplicateValues" dxfId="169" priority="157"/>
    <cfRule type="duplicateValues" dxfId="168" priority="166"/>
    <cfRule type="duplicateValues" dxfId="167" priority="168"/>
    <cfRule type="duplicateValues" dxfId="166" priority="169"/>
    <cfRule type="duplicateValues" dxfId="165" priority="17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7D23-2492-463E-86C1-F13BA571DAF9}">
  <dimension ref="A1:W178"/>
  <sheetViews>
    <sheetView topLeftCell="G1" zoomScale="99" zoomScaleNormal="100" workbookViewId="0">
      <selection activeCell="R2" sqref="R2"/>
    </sheetView>
  </sheetViews>
  <sheetFormatPr defaultRowHeight="15" x14ac:dyDescent="0.25"/>
  <cols>
    <col min="2" max="2" width="12.42578125" style="26" bestFit="1" customWidth="1"/>
    <col min="5" max="6" width="10.42578125" bestFit="1" customWidth="1"/>
    <col min="7" max="7" width="18.7109375" bestFit="1" customWidth="1"/>
    <col min="8" max="8" width="15.7109375" bestFit="1" customWidth="1"/>
    <col min="9" max="9" width="8.28515625" bestFit="1" customWidth="1"/>
    <col min="10" max="10" width="9.28515625" bestFit="1" customWidth="1"/>
    <col min="11" max="11" width="16.42578125" bestFit="1" customWidth="1"/>
    <col min="12" max="12" width="10.7109375" bestFit="1" customWidth="1"/>
    <col min="13" max="13" width="9" bestFit="1" customWidth="1"/>
    <col min="14" max="14" width="15.7109375" bestFit="1" customWidth="1"/>
    <col min="15" max="15" width="10.140625" bestFit="1" customWidth="1"/>
    <col min="16" max="16" width="9.85546875" bestFit="1" customWidth="1"/>
    <col min="17" max="17" width="15.28515625" bestFit="1" customWidth="1"/>
    <col min="18" max="18" width="52.5703125" bestFit="1" customWidth="1"/>
    <col min="22" max="22" width="10.42578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23" x14ac:dyDescent="0.25">
      <c r="A2" s="3">
        <v>1</v>
      </c>
      <c r="B2" s="4">
        <v>170115</v>
      </c>
      <c r="C2" s="4">
        <v>52</v>
      </c>
      <c r="D2" s="4" t="s">
        <v>17</v>
      </c>
      <c r="E2" s="5">
        <v>45383</v>
      </c>
      <c r="F2" s="6">
        <v>45422</v>
      </c>
      <c r="G2" s="4" t="s">
        <v>9</v>
      </c>
      <c r="H2" s="3" t="s">
        <v>18</v>
      </c>
      <c r="I2" s="3">
        <v>0</v>
      </c>
      <c r="J2" s="3">
        <v>1</v>
      </c>
      <c r="K2" s="3">
        <v>1</v>
      </c>
      <c r="L2" s="3">
        <v>6</v>
      </c>
      <c r="M2" s="3">
        <v>12</v>
      </c>
      <c r="N2" s="3">
        <v>18</v>
      </c>
      <c r="O2" s="7">
        <f t="shared" ref="O2:O30" si="0">85+50*LOG10(6/M2)</f>
        <v>69.948500216800937</v>
      </c>
      <c r="P2" s="8">
        <f t="shared" ref="P2:P30" si="1">85+50*LOG10(6/N2)</f>
        <v>61.143937264016877</v>
      </c>
      <c r="Q2" s="8">
        <f t="shared" ref="Q2:Q31" si="2">P2-O2</f>
        <v>-8.8045629527840603</v>
      </c>
      <c r="R2" t="s">
        <v>93</v>
      </c>
      <c r="S2">
        <f t="shared" ref="S2:S63" si="3">COUNTIF(Q2,"&lt;0")</f>
        <v>1</v>
      </c>
    </row>
    <row r="3" spans="1:23" x14ac:dyDescent="0.25">
      <c r="A3" s="3">
        <v>2</v>
      </c>
      <c r="B3" s="4">
        <v>1008829</v>
      </c>
      <c r="C3" s="4">
        <v>55</v>
      </c>
      <c r="D3" s="4" t="s">
        <v>19</v>
      </c>
      <c r="E3" s="5">
        <v>45384</v>
      </c>
      <c r="F3" s="6">
        <v>45509</v>
      </c>
      <c r="G3" s="4" t="s">
        <v>9</v>
      </c>
      <c r="H3" s="3" t="s">
        <v>18</v>
      </c>
      <c r="I3" s="3">
        <v>0</v>
      </c>
      <c r="J3" s="3">
        <v>2</v>
      </c>
      <c r="K3" s="3">
        <v>2</v>
      </c>
      <c r="L3" s="3">
        <v>17</v>
      </c>
      <c r="M3" s="3">
        <v>24</v>
      </c>
      <c r="N3" s="3">
        <v>24</v>
      </c>
      <c r="O3" s="7">
        <f t="shared" si="0"/>
        <v>54.897000433601882</v>
      </c>
      <c r="P3" s="8">
        <f t="shared" si="1"/>
        <v>54.897000433601882</v>
      </c>
      <c r="Q3" s="8">
        <f t="shared" si="2"/>
        <v>0</v>
      </c>
      <c r="S3">
        <f t="shared" si="3"/>
        <v>0</v>
      </c>
    </row>
    <row r="4" spans="1:23" x14ac:dyDescent="0.25">
      <c r="A4" s="3">
        <v>3</v>
      </c>
      <c r="B4" s="4">
        <v>177209</v>
      </c>
      <c r="C4" s="4">
        <v>56</v>
      </c>
      <c r="D4" s="4" t="s">
        <v>19</v>
      </c>
      <c r="E4" s="5">
        <v>45387</v>
      </c>
      <c r="F4" s="6">
        <v>45987</v>
      </c>
      <c r="G4" s="4" t="s">
        <v>9</v>
      </c>
      <c r="H4" s="3" t="s">
        <v>18</v>
      </c>
      <c r="I4" s="3">
        <v>0</v>
      </c>
      <c r="J4" s="3">
        <v>1</v>
      </c>
      <c r="K4" s="3">
        <v>1</v>
      </c>
      <c r="L4" s="3">
        <v>8</v>
      </c>
      <c r="M4" s="3">
        <v>6</v>
      </c>
      <c r="N4" s="3">
        <v>6</v>
      </c>
      <c r="O4" s="7">
        <f t="shared" si="0"/>
        <v>85</v>
      </c>
      <c r="P4" s="8">
        <f t="shared" si="1"/>
        <v>85</v>
      </c>
      <c r="Q4" s="8">
        <f t="shared" si="2"/>
        <v>0</v>
      </c>
      <c r="S4">
        <f t="shared" si="3"/>
        <v>0</v>
      </c>
      <c r="V4" s="19" t="s">
        <v>71</v>
      </c>
      <c r="W4" s="1">
        <f>COUNTIF(S:S,"1")</f>
        <v>32</v>
      </c>
    </row>
    <row r="5" spans="1:23" ht="17.25" customHeight="1" x14ac:dyDescent="0.25">
      <c r="A5" s="3">
        <v>4</v>
      </c>
      <c r="B5" s="4" t="s">
        <v>25</v>
      </c>
      <c r="C5" s="4">
        <v>53</v>
      </c>
      <c r="D5" s="4" t="s">
        <v>17</v>
      </c>
      <c r="E5" s="5">
        <v>45388</v>
      </c>
      <c r="F5" s="6">
        <v>45754</v>
      </c>
      <c r="G5" s="4" t="s">
        <v>9</v>
      </c>
      <c r="H5" s="3" t="s">
        <v>18</v>
      </c>
      <c r="I5" s="3">
        <v>0</v>
      </c>
      <c r="J5" s="3">
        <v>2</v>
      </c>
      <c r="K5" s="3">
        <v>2</v>
      </c>
      <c r="L5" s="3">
        <v>15</v>
      </c>
      <c r="M5" s="3">
        <v>18</v>
      </c>
      <c r="N5" s="3">
        <v>9</v>
      </c>
      <c r="O5" s="7">
        <f t="shared" si="0"/>
        <v>61.143937264016877</v>
      </c>
      <c r="P5" s="8">
        <f t="shared" si="1"/>
        <v>76.195437047215933</v>
      </c>
      <c r="Q5" s="8">
        <f t="shared" si="2"/>
        <v>15.051499783199056</v>
      </c>
      <c r="S5">
        <f t="shared" si="3"/>
        <v>0</v>
      </c>
      <c r="V5" s="19" t="s">
        <v>72</v>
      </c>
      <c r="W5" s="1">
        <f>COUNTIF(S:S,"0")</f>
        <v>145</v>
      </c>
    </row>
    <row r="6" spans="1:23" x14ac:dyDescent="0.25">
      <c r="A6" s="3">
        <v>5</v>
      </c>
      <c r="B6" s="4">
        <v>256877</v>
      </c>
      <c r="C6" s="4">
        <v>74</v>
      </c>
      <c r="D6" s="4" t="s">
        <v>19</v>
      </c>
      <c r="E6" s="5">
        <v>45393</v>
      </c>
      <c r="F6" s="6">
        <v>45992</v>
      </c>
      <c r="G6" s="4" t="s">
        <v>9</v>
      </c>
      <c r="H6" s="3" t="s">
        <v>22</v>
      </c>
      <c r="I6" s="3">
        <v>0</v>
      </c>
      <c r="J6" s="3">
        <v>3</v>
      </c>
      <c r="K6" s="3">
        <v>3</v>
      </c>
      <c r="L6" s="3">
        <v>22</v>
      </c>
      <c r="M6" s="3">
        <v>18</v>
      </c>
      <c r="N6" s="3">
        <v>18</v>
      </c>
      <c r="O6" s="7">
        <f t="shared" si="0"/>
        <v>61.143937264016877</v>
      </c>
      <c r="P6" s="8">
        <f t="shared" si="1"/>
        <v>61.143937264016877</v>
      </c>
      <c r="Q6" s="8">
        <f t="shared" si="2"/>
        <v>0</v>
      </c>
      <c r="S6">
        <f t="shared" si="3"/>
        <v>0</v>
      </c>
      <c r="V6" s="19" t="s">
        <v>74</v>
      </c>
      <c r="W6" s="1">
        <f>COUNT(S:S)</f>
        <v>177</v>
      </c>
    </row>
    <row r="7" spans="1:23" x14ac:dyDescent="0.25">
      <c r="A7" s="3">
        <v>6</v>
      </c>
      <c r="B7" s="4">
        <v>198686</v>
      </c>
      <c r="C7" s="4">
        <v>82</v>
      </c>
      <c r="D7" s="4" t="s">
        <v>19</v>
      </c>
      <c r="E7" s="5">
        <v>45391</v>
      </c>
      <c r="F7" s="6">
        <v>45826</v>
      </c>
      <c r="G7" s="4" t="s">
        <v>9</v>
      </c>
      <c r="H7" s="3" t="s">
        <v>22</v>
      </c>
      <c r="I7" s="3">
        <v>0</v>
      </c>
      <c r="J7" s="3">
        <v>2</v>
      </c>
      <c r="K7" s="3">
        <v>2</v>
      </c>
      <c r="L7" s="3">
        <v>28</v>
      </c>
      <c r="M7" s="3">
        <v>18</v>
      </c>
      <c r="N7" s="3">
        <v>9</v>
      </c>
      <c r="O7" s="7">
        <f t="shared" si="0"/>
        <v>61.143937264016877</v>
      </c>
      <c r="P7" s="8">
        <f t="shared" si="1"/>
        <v>76.195437047215933</v>
      </c>
      <c r="Q7" s="8">
        <f t="shared" si="2"/>
        <v>15.051499783199056</v>
      </c>
      <c r="S7">
        <f t="shared" si="3"/>
        <v>0</v>
      </c>
    </row>
    <row r="8" spans="1:23" x14ac:dyDescent="0.25">
      <c r="A8" s="3">
        <v>7</v>
      </c>
      <c r="B8" s="4">
        <v>198686</v>
      </c>
      <c r="C8" s="4">
        <v>82</v>
      </c>
      <c r="D8" s="4" t="s">
        <v>19</v>
      </c>
      <c r="E8" s="5">
        <v>45391</v>
      </c>
      <c r="F8" s="6">
        <v>45826</v>
      </c>
      <c r="G8" s="4" t="s">
        <v>9</v>
      </c>
      <c r="H8" s="3" t="s">
        <v>18</v>
      </c>
      <c r="I8" s="3">
        <v>0</v>
      </c>
      <c r="J8" s="3">
        <v>2</v>
      </c>
      <c r="K8" s="3">
        <v>2</v>
      </c>
      <c r="L8" s="3">
        <v>28</v>
      </c>
      <c r="M8" s="3">
        <v>180</v>
      </c>
      <c r="N8" s="3">
        <v>300</v>
      </c>
      <c r="O8" s="7">
        <f t="shared" si="0"/>
        <v>11.143937264016884</v>
      </c>
      <c r="P8" s="8">
        <f t="shared" si="1"/>
        <v>5.1499783199062676E-2</v>
      </c>
      <c r="Q8" s="8">
        <f t="shared" si="2"/>
        <v>-11.092437480817821</v>
      </c>
      <c r="R8" t="s">
        <v>76</v>
      </c>
      <c r="S8">
        <f t="shared" si="3"/>
        <v>1</v>
      </c>
    </row>
    <row r="9" spans="1:23" x14ac:dyDescent="0.25">
      <c r="A9" s="3">
        <v>8</v>
      </c>
      <c r="B9" s="4">
        <v>3043094</v>
      </c>
      <c r="C9" s="4">
        <v>59</v>
      </c>
      <c r="D9" s="4" t="s">
        <v>17</v>
      </c>
      <c r="E9" s="5">
        <v>45394</v>
      </c>
      <c r="F9" s="6">
        <v>45426</v>
      </c>
      <c r="G9" s="4" t="s">
        <v>9</v>
      </c>
      <c r="H9" s="3" t="s">
        <v>22</v>
      </c>
      <c r="I9" s="3">
        <v>0</v>
      </c>
      <c r="J9" s="3">
        <v>1</v>
      </c>
      <c r="K9" s="3">
        <v>1</v>
      </c>
      <c r="L9" s="3">
        <v>5</v>
      </c>
      <c r="M9" s="3">
        <v>18</v>
      </c>
      <c r="N9" s="3">
        <v>12</v>
      </c>
      <c r="O9" s="7">
        <f t="shared" si="0"/>
        <v>61.143937264016877</v>
      </c>
      <c r="P9" s="8">
        <f t="shared" si="1"/>
        <v>69.948500216800937</v>
      </c>
      <c r="Q9" s="8">
        <f t="shared" si="2"/>
        <v>8.8045629527840603</v>
      </c>
      <c r="S9">
        <f t="shared" si="3"/>
        <v>0</v>
      </c>
      <c r="V9" s="19" t="s">
        <v>73</v>
      </c>
      <c r="W9" s="20">
        <f>AVERAGE(Q:Q)</f>
        <v>8.5459815910818744</v>
      </c>
    </row>
    <row r="10" spans="1:23" x14ac:dyDescent="0.25">
      <c r="A10" s="3">
        <v>9</v>
      </c>
      <c r="B10" s="4">
        <v>497367</v>
      </c>
      <c r="C10" s="4">
        <v>60</v>
      </c>
      <c r="D10" s="4" t="s">
        <v>19</v>
      </c>
      <c r="E10" s="5">
        <v>45397</v>
      </c>
      <c r="F10" s="5">
        <v>45397</v>
      </c>
      <c r="G10" s="4" t="s">
        <v>9</v>
      </c>
      <c r="H10" s="3" t="s">
        <v>22</v>
      </c>
      <c r="I10" s="3">
        <v>0</v>
      </c>
      <c r="J10" s="3">
        <v>1</v>
      </c>
      <c r="K10" s="3">
        <v>1</v>
      </c>
      <c r="L10" s="3">
        <v>1</v>
      </c>
      <c r="M10" s="3">
        <v>60</v>
      </c>
      <c r="N10" s="3">
        <v>60</v>
      </c>
      <c r="O10" s="7">
        <f t="shared" si="0"/>
        <v>35</v>
      </c>
      <c r="P10" s="8">
        <f t="shared" si="1"/>
        <v>35</v>
      </c>
      <c r="Q10" s="8">
        <f t="shared" si="2"/>
        <v>0</v>
      </c>
      <c r="S10">
        <f t="shared" si="3"/>
        <v>0</v>
      </c>
    </row>
    <row r="11" spans="1:23" x14ac:dyDescent="0.25">
      <c r="A11" s="3">
        <v>10</v>
      </c>
      <c r="B11" s="4">
        <v>1024093</v>
      </c>
      <c r="C11" s="4">
        <v>73</v>
      </c>
      <c r="D11" s="4" t="s">
        <v>19</v>
      </c>
      <c r="E11" s="5">
        <v>45392</v>
      </c>
      <c r="F11" s="6">
        <v>45742</v>
      </c>
      <c r="G11" s="4" t="s">
        <v>9</v>
      </c>
      <c r="H11" s="3" t="s">
        <v>22</v>
      </c>
      <c r="I11" s="3">
        <v>0</v>
      </c>
      <c r="J11" s="3">
        <v>2</v>
      </c>
      <c r="K11" s="3">
        <v>4</v>
      </c>
      <c r="L11" s="3">
        <v>8</v>
      </c>
      <c r="M11" s="3">
        <v>180</v>
      </c>
      <c r="N11" s="3">
        <v>300</v>
      </c>
      <c r="O11" s="7">
        <f t="shared" si="0"/>
        <v>11.143937264016884</v>
      </c>
      <c r="P11" s="8">
        <f t="shared" si="1"/>
        <v>5.1499783199062676E-2</v>
      </c>
      <c r="Q11" s="8">
        <f t="shared" si="2"/>
        <v>-11.092437480817821</v>
      </c>
      <c r="R11" t="s">
        <v>75</v>
      </c>
      <c r="S11">
        <f t="shared" si="3"/>
        <v>1</v>
      </c>
    </row>
    <row r="12" spans="1:23" x14ac:dyDescent="0.25">
      <c r="A12" s="3">
        <v>11</v>
      </c>
      <c r="B12" s="9">
        <v>1032369</v>
      </c>
      <c r="C12" s="9">
        <v>83</v>
      </c>
      <c r="D12" s="9" t="s">
        <v>19</v>
      </c>
      <c r="E12" s="10">
        <v>45400</v>
      </c>
      <c r="F12" s="11">
        <v>45400</v>
      </c>
      <c r="G12" s="9" t="s">
        <v>9</v>
      </c>
      <c r="H12" s="12" t="s">
        <v>18</v>
      </c>
      <c r="I12" s="12">
        <v>0</v>
      </c>
      <c r="J12" s="12">
        <v>1</v>
      </c>
      <c r="K12" s="12">
        <v>1</v>
      </c>
      <c r="L12" s="12">
        <v>1</v>
      </c>
      <c r="M12" s="12">
        <v>6</v>
      </c>
      <c r="N12" s="12">
        <v>6</v>
      </c>
      <c r="O12" s="7">
        <f t="shared" si="0"/>
        <v>85</v>
      </c>
      <c r="P12" s="8">
        <f t="shared" si="1"/>
        <v>85</v>
      </c>
      <c r="Q12" s="8">
        <f t="shared" si="2"/>
        <v>0</v>
      </c>
      <c r="S12">
        <f t="shared" si="3"/>
        <v>0</v>
      </c>
    </row>
    <row r="13" spans="1:23" x14ac:dyDescent="0.25">
      <c r="A13" s="3">
        <v>12</v>
      </c>
      <c r="B13" s="4">
        <v>191365</v>
      </c>
      <c r="C13" s="4">
        <v>56</v>
      </c>
      <c r="D13" s="4" t="s">
        <v>19</v>
      </c>
      <c r="E13" s="5">
        <v>45407</v>
      </c>
      <c r="F13" s="6">
        <v>45925</v>
      </c>
      <c r="G13" s="4" t="s">
        <v>9</v>
      </c>
      <c r="H13" s="3" t="s">
        <v>18</v>
      </c>
      <c r="I13" s="3">
        <v>0</v>
      </c>
      <c r="J13" s="3">
        <v>3</v>
      </c>
      <c r="K13" s="3">
        <v>3</v>
      </c>
      <c r="L13" s="3">
        <v>12</v>
      </c>
      <c r="M13" s="3">
        <v>12</v>
      </c>
      <c r="N13" s="3">
        <v>9</v>
      </c>
      <c r="O13" s="7">
        <f t="shared" si="0"/>
        <v>69.948500216800937</v>
      </c>
      <c r="P13" s="8">
        <f t="shared" si="1"/>
        <v>76.195437047215933</v>
      </c>
      <c r="Q13" s="8">
        <f t="shared" si="2"/>
        <v>6.2469368304149953</v>
      </c>
      <c r="S13">
        <f t="shared" si="3"/>
        <v>0</v>
      </c>
    </row>
    <row r="14" spans="1:23" x14ac:dyDescent="0.25">
      <c r="A14" s="3">
        <v>13</v>
      </c>
      <c r="B14" s="4">
        <v>1002775</v>
      </c>
      <c r="C14" s="4">
        <v>58</v>
      </c>
      <c r="D14" s="4" t="s">
        <v>19</v>
      </c>
      <c r="E14" s="5">
        <v>45409</v>
      </c>
      <c r="F14" s="6">
        <v>45982</v>
      </c>
      <c r="G14" s="4" t="s">
        <v>9</v>
      </c>
      <c r="H14" s="3" t="s">
        <v>18</v>
      </c>
      <c r="I14" s="3">
        <v>0</v>
      </c>
      <c r="J14" s="3">
        <v>1</v>
      </c>
      <c r="K14" s="3">
        <v>1</v>
      </c>
      <c r="L14" s="3">
        <v>5</v>
      </c>
      <c r="M14" s="3">
        <v>24</v>
      </c>
      <c r="N14" s="3">
        <v>36</v>
      </c>
      <c r="O14" s="7">
        <f t="shared" si="0"/>
        <v>54.897000433601882</v>
      </c>
      <c r="P14" s="8">
        <f t="shared" si="1"/>
        <v>46.092437480817821</v>
      </c>
      <c r="Q14" s="8">
        <f t="shared" si="2"/>
        <v>-8.8045629527840603</v>
      </c>
      <c r="R14" t="s">
        <v>77</v>
      </c>
      <c r="S14">
        <f t="shared" si="3"/>
        <v>1</v>
      </c>
    </row>
    <row r="15" spans="1:23" x14ac:dyDescent="0.25">
      <c r="A15" s="3">
        <v>14</v>
      </c>
      <c r="B15" s="4">
        <v>1017959</v>
      </c>
      <c r="C15" s="4">
        <v>89</v>
      </c>
      <c r="D15" s="4" t="s">
        <v>17</v>
      </c>
      <c r="E15" s="5">
        <v>45416</v>
      </c>
      <c r="F15" s="6">
        <v>45681</v>
      </c>
      <c r="G15" s="9" t="s">
        <v>9</v>
      </c>
      <c r="H15" s="3" t="s">
        <v>18</v>
      </c>
      <c r="I15" s="3">
        <v>0</v>
      </c>
      <c r="J15" s="3">
        <v>2</v>
      </c>
      <c r="K15" s="3">
        <v>2</v>
      </c>
      <c r="L15" s="3">
        <v>9</v>
      </c>
      <c r="M15" s="3">
        <v>36</v>
      </c>
      <c r="N15" s="3">
        <v>24</v>
      </c>
      <c r="O15" s="7">
        <f t="shared" si="0"/>
        <v>46.092437480817821</v>
      </c>
      <c r="P15" s="8">
        <f t="shared" si="1"/>
        <v>54.897000433601882</v>
      </c>
      <c r="Q15" s="8">
        <f t="shared" si="2"/>
        <v>8.8045629527840603</v>
      </c>
      <c r="S15">
        <f t="shared" si="3"/>
        <v>0</v>
      </c>
    </row>
    <row r="16" spans="1:23" x14ac:dyDescent="0.25">
      <c r="A16" s="3">
        <v>15</v>
      </c>
      <c r="B16" s="4">
        <v>154720</v>
      </c>
      <c r="C16" s="4">
        <v>59</v>
      </c>
      <c r="D16" s="4" t="s">
        <v>17</v>
      </c>
      <c r="E16" s="5">
        <v>45420</v>
      </c>
      <c r="F16" s="6">
        <v>45441</v>
      </c>
      <c r="G16" s="9" t="s">
        <v>9</v>
      </c>
      <c r="H16" s="3" t="s">
        <v>22</v>
      </c>
      <c r="I16" s="3">
        <v>0</v>
      </c>
      <c r="J16" s="3">
        <v>1</v>
      </c>
      <c r="K16" s="3">
        <v>1</v>
      </c>
      <c r="L16" s="3">
        <v>5</v>
      </c>
      <c r="M16" s="3">
        <v>18</v>
      </c>
      <c r="N16" s="3">
        <v>9</v>
      </c>
      <c r="O16" s="7">
        <f t="shared" si="0"/>
        <v>61.143937264016877</v>
      </c>
      <c r="P16" s="8">
        <f t="shared" si="1"/>
        <v>76.195437047215933</v>
      </c>
      <c r="Q16" s="8">
        <f t="shared" si="2"/>
        <v>15.051499783199056</v>
      </c>
      <c r="S16">
        <f t="shared" si="3"/>
        <v>0</v>
      </c>
    </row>
    <row r="17" spans="1:19" x14ac:dyDescent="0.25">
      <c r="A17" s="3">
        <v>16</v>
      </c>
      <c r="B17" s="4">
        <v>1033302</v>
      </c>
      <c r="C17" s="4">
        <v>67</v>
      </c>
      <c r="D17" s="4" t="s">
        <v>19</v>
      </c>
      <c r="E17" s="5">
        <v>45423</v>
      </c>
      <c r="F17" s="6">
        <v>45922</v>
      </c>
      <c r="G17" s="4" t="s">
        <v>9</v>
      </c>
      <c r="H17" s="3" t="s">
        <v>18</v>
      </c>
      <c r="I17" s="3">
        <v>0</v>
      </c>
      <c r="J17" s="3">
        <v>2</v>
      </c>
      <c r="K17" s="3">
        <v>2</v>
      </c>
      <c r="L17" s="3">
        <v>17</v>
      </c>
      <c r="M17" s="3">
        <v>6</v>
      </c>
      <c r="N17" s="3">
        <v>7.5</v>
      </c>
      <c r="O17" s="7">
        <f t="shared" si="0"/>
        <v>85</v>
      </c>
      <c r="P17" s="8">
        <f t="shared" si="1"/>
        <v>80.154499349597174</v>
      </c>
      <c r="Q17" s="8">
        <f t="shared" si="2"/>
        <v>-4.8455006504028262</v>
      </c>
      <c r="R17" t="s">
        <v>78</v>
      </c>
      <c r="S17">
        <f t="shared" si="3"/>
        <v>1</v>
      </c>
    </row>
    <row r="18" spans="1:19" x14ac:dyDescent="0.25">
      <c r="A18" s="3">
        <v>17</v>
      </c>
      <c r="B18" s="4">
        <v>1033302</v>
      </c>
      <c r="C18" s="4">
        <v>67</v>
      </c>
      <c r="D18" s="4" t="s">
        <v>19</v>
      </c>
      <c r="E18" s="5">
        <v>45428</v>
      </c>
      <c r="F18" s="6">
        <v>45922</v>
      </c>
      <c r="G18" s="4" t="s">
        <v>9</v>
      </c>
      <c r="H18" s="3" t="s">
        <v>22</v>
      </c>
      <c r="I18" s="3">
        <v>0</v>
      </c>
      <c r="J18" s="3">
        <v>3</v>
      </c>
      <c r="K18" s="3">
        <v>3</v>
      </c>
      <c r="L18" s="3">
        <v>17</v>
      </c>
      <c r="M18" s="3">
        <v>12</v>
      </c>
      <c r="N18" s="3">
        <v>12</v>
      </c>
      <c r="O18" s="7">
        <f t="shared" si="0"/>
        <v>69.948500216800937</v>
      </c>
      <c r="P18" s="8">
        <f t="shared" si="1"/>
        <v>69.948500216800937</v>
      </c>
      <c r="Q18" s="8">
        <f t="shared" si="2"/>
        <v>0</v>
      </c>
      <c r="S18">
        <f t="shared" si="3"/>
        <v>0</v>
      </c>
    </row>
    <row r="19" spans="1:19" x14ac:dyDescent="0.25">
      <c r="A19" s="3">
        <v>18</v>
      </c>
      <c r="B19" s="4">
        <v>1033359</v>
      </c>
      <c r="C19" s="4">
        <v>71</v>
      </c>
      <c r="D19" s="4" t="s">
        <v>19</v>
      </c>
      <c r="E19" s="5">
        <v>45428</v>
      </c>
      <c r="F19" s="6">
        <v>45944</v>
      </c>
      <c r="G19" s="4" t="s">
        <v>9</v>
      </c>
      <c r="H19" s="3" t="s">
        <v>18</v>
      </c>
      <c r="I19" s="3">
        <v>0</v>
      </c>
      <c r="J19" s="3">
        <v>5</v>
      </c>
      <c r="K19" s="3">
        <v>5</v>
      </c>
      <c r="L19" s="3">
        <v>21</v>
      </c>
      <c r="M19" s="3">
        <v>24</v>
      </c>
      <c r="N19" s="3">
        <v>18</v>
      </c>
      <c r="O19" s="7">
        <f t="shared" si="0"/>
        <v>54.897000433601882</v>
      </c>
      <c r="P19" s="8">
        <f t="shared" si="1"/>
        <v>61.143937264016877</v>
      </c>
      <c r="Q19" s="8">
        <f t="shared" si="2"/>
        <v>6.2469368304149953</v>
      </c>
      <c r="S19">
        <f t="shared" si="3"/>
        <v>0</v>
      </c>
    </row>
    <row r="20" spans="1:19" x14ac:dyDescent="0.25">
      <c r="A20" s="3">
        <v>19</v>
      </c>
      <c r="B20" s="4">
        <v>1033359</v>
      </c>
      <c r="C20" s="4">
        <v>71</v>
      </c>
      <c r="D20" s="4" t="s">
        <v>19</v>
      </c>
      <c r="E20" s="5">
        <v>45428</v>
      </c>
      <c r="F20" s="6">
        <v>45944</v>
      </c>
      <c r="G20" s="4" t="s">
        <v>9</v>
      </c>
      <c r="H20" s="3" t="s">
        <v>22</v>
      </c>
      <c r="I20" s="3">
        <v>0</v>
      </c>
      <c r="J20" s="3">
        <v>4</v>
      </c>
      <c r="K20" s="3">
        <v>4</v>
      </c>
      <c r="L20" s="3">
        <v>21</v>
      </c>
      <c r="M20" s="3">
        <v>12</v>
      </c>
      <c r="N20" s="3">
        <v>9</v>
      </c>
      <c r="O20" s="7">
        <f t="shared" si="0"/>
        <v>69.948500216800937</v>
      </c>
      <c r="P20" s="8">
        <f t="shared" si="1"/>
        <v>76.195437047215933</v>
      </c>
      <c r="Q20" s="8">
        <f t="shared" si="2"/>
        <v>6.2469368304149953</v>
      </c>
      <c r="S20">
        <f t="shared" si="3"/>
        <v>0</v>
      </c>
    </row>
    <row r="21" spans="1:19" x14ac:dyDescent="0.25">
      <c r="A21" s="3">
        <v>20</v>
      </c>
      <c r="B21" s="4">
        <v>103252</v>
      </c>
      <c r="C21" s="4">
        <v>66</v>
      </c>
      <c r="D21" s="4" t="s">
        <v>19</v>
      </c>
      <c r="E21" s="5">
        <v>45432</v>
      </c>
      <c r="F21" s="6">
        <v>45433</v>
      </c>
      <c r="G21" s="4" t="s">
        <v>9</v>
      </c>
      <c r="H21" s="3" t="s">
        <v>22</v>
      </c>
      <c r="I21" s="3">
        <v>0</v>
      </c>
      <c r="J21" s="3">
        <v>1</v>
      </c>
      <c r="K21" s="3">
        <v>1</v>
      </c>
      <c r="L21" s="3">
        <v>4</v>
      </c>
      <c r="M21" s="3">
        <v>12</v>
      </c>
      <c r="N21" s="3">
        <v>12</v>
      </c>
      <c r="O21" s="7">
        <f t="shared" si="0"/>
        <v>69.948500216800937</v>
      </c>
      <c r="P21" s="8">
        <f t="shared" si="1"/>
        <v>69.948500216800937</v>
      </c>
      <c r="Q21" s="8">
        <f t="shared" si="2"/>
        <v>0</v>
      </c>
      <c r="S21">
        <f t="shared" si="3"/>
        <v>0</v>
      </c>
    </row>
    <row r="22" spans="1:19" x14ac:dyDescent="0.25">
      <c r="A22" s="3">
        <v>21</v>
      </c>
      <c r="B22" s="4">
        <v>1033621</v>
      </c>
      <c r="C22" s="4">
        <v>56</v>
      </c>
      <c r="D22" s="4" t="s">
        <v>17</v>
      </c>
      <c r="E22" s="5">
        <v>45432</v>
      </c>
      <c r="F22" s="6">
        <v>45965</v>
      </c>
      <c r="G22" s="4" t="s">
        <v>9</v>
      </c>
      <c r="H22" s="3" t="s">
        <v>22</v>
      </c>
      <c r="I22" s="3">
        <v>0</v>
      </c>
      <c r="J22" s="3">
        <v>2</v>
      </c>
      <c r="K22" s="3">
        <v>2</v>
      </c>
      <c r="L22" s="3">
        <v>9</v>
      </c>
      <c r="M22" s="3">
        <v>12</v>
      </c>
      <c r="N22" s="3">
        <v>9</v>
      </c>
      <c r="O22" s="7">
        <f t="shared" si="0"/>
        <v>69.948500216800937</v>
      </c>
      <c r="P22" s="8">
        <f t="shared" si="1"/>
        <v>76.195437047215933</v>
      </c>
      <c r="Q22" s="8">
        <f t="shared" si="2"/>
        <v>6.2469368304149953</v>
      </c>
      <c r="S22">
        <f t="shared" si="3"/>
        <v>0</v>
      </c>
    </row>
    <row r="23" spans="1:19" x14ac:dyDescent="0.25">
      <c r="A23" s="3">
        <v>22</v>
      </c>
      <c r="B23" s="4">
        <v>1033721</v>
      </c>
      <c r="C23" s="4">
        <v>56</v>
      </c>
      <c r="D23" s="4" t="s">
        <v>17</v>
      </c>
      <c r="E23" s="5">
        <v>45440</v>
      </c>
      <c r="F23" s="6">
        <v>45997</v>
      </c>
      <c r="G23" s="4" t="s">
        <v>9</v>
      </c>
      <c r="H23" s="3" t="s">
        <v>18</v>
      </c>
      <c r="I23" s="3">
        <v>0</v>
      </c>
      <c r="J23" s="3">
        <v>3</v>
      </c>
      <c r="K23" s="3">
        <v>3</v>
      </c>
      <c r="L23" s="3">
        <v>17</v>
      </c>
      <c r="M23" s="3">
        <v>7.5</v>
      </c>
      <c r="N23" s="3">
        <v>9</v>
      </c>
      <c r="O23" s="7">
        <f t="shared" si="0"/>
        <v>80.154499349597174</v>
      </c>
      <c r="P23" s="8">
        <f t="shared" si="1"/>
        <v>76.195437047215933</v>
      </c>
      <c r="Q23" s="8">
        <f t="shared" si="2"/>
        <v>-3.9590623023812412</v>
      </c>
      <c r="R23" t="s">
        <v>79</v>
      </c>
      <c r="S23">
        <f t="shared" si="3"/>
        <v>1</v>
      </c>
    </row>
    <row r="24" spans="1:19" x14ac:dyDescent="0.25">
      <c r="A24" s="3">
        <v>23</v>
      </c>
      <c r="B24" s="4">
        <v>1032266</v>
      </c>
      <c r="C24" s="4">
        <v>50</v>
      </c>
      <c r="D24" s="4" t="s">
        <v>17</v>
      </c>
      <c r="E24" s="5">
        <v>45439</v>
      </c>
      <c r="F24" s="6">
        <v>45472</v>
      </c>
      <c r="G24" s="4" t="s">
        <v>9</v>
      </c>
      <c r="H24" s="3" t="s">
        <v>18</v>
      </c>
      <c r="I24" s="3">
        <v>0</v>
      </c>
      <c r="J24" s="3">
        <v>1</v>
      </c>
      <c r="K24" s="3">
        <v>1</v>
      </c>
      <c r="L24" s="3">
        <v>6</v>
      </c>
      <c r="M24" s="3">
        <v>18</v>
      </c>
      <c r="N24" s="3">
        <v>12</v>
      </c>
      <c r="O24" s="7">
        <f t="shared" si="0"/>
        <v>61.143937264016877</v>
      </c>
      <c r="P24" s="8">
        <f t="shared" si="1"/>
        <v>69.948500216800937</v>
      </c>
      <c r="Q24" s="8">
        <f t="shared" si="2"/>
        <v>8.8045629527840603</v>
      </c>
      <c r="S24">
        <f t="shared" si="3"/>
        <v>0</v>
      </c>
    </row>
    <row r="25" spans="1:19" x14ac:dyDescent="0.25">
      <c r="A25" s="3">
        <v>24</v>
      </c>
      <c r="B25" s="4">
        <v>244467</v>
      </c>
      <c r="C25" s="4">
        <v>66</v>
      </c>
      <c r="D25" s="4" t="s">
        <v>19</v>
      </c>
      <c r="E25" s="5">
        <v>45447</v>
      </c>
      <c r="F25" s="6">
        <v>45985</v>
      </c>
      <c r="G25" s="4" t="s">
        <v>9</v>
      </c>
      <c r="H25" s="3" t="s">
        <v>22</v>
      </c>
      <c r="I25" s="3">
        <v>0</v>
      </c>
      <c r="J25" s="3">
        <v>1</v>
      </c>
      <c r="K25" s="3">
        <v>1</v>
      </c>
      <c r="L25" s="3">
        <v>7</v>
      </c>
      <c r="M25" s="3">
        <v>18</v>
      </c>
      <c r="N25" s="3">
        <v>9</v>
      </c>
      <c r="O25" s="7">
        <f t="shared" si="0"/>
        <v>61.143937264016877</v>
      </c>
      <c r="P25" s="8">
        <f t="shared" si="1"/>
        <v>76.195437047215933</v>
      </c>
      <c r="Q25" s="8">
        <f t="shared" si="2"/>
        <v>15.051499783199056</v>
      </c>
      <c r="S25">
        <f t="shared" si="3"/>
        <v>0</v>
      </c>
    </row>
    <row r="26" spans="1:19" x14ac:dyDescent="0.25">
      <c r="A26" s="3">
        <v>25</v>
      </c>
      <c r="B26" s="4">
        <v>1033142</v>
      </c>
      <c r="C26" s="4">
        <v>62</v>
      </c>
      <c r="D26" s="4" t="s">
        <v>17</v>
      </c>
      <c r="E26" s="5">
        <v>45448</v>
      </c>
      <c r="F26" s="6">
        <v>45533</v>
      </c>
      <c r="G26" s="4" t="s">
        <v>9</v>
      </c>
      <c r="H26" s="3" t="s">
        <v>18</v>
      </c>
      <c r="I26" s="3">
        <v>0</v>
      </c>
      <c r="J26" s="3">
        <v>1</v>
      </c>
      <c r="K26" s="3">
        <v>1</v>
      </c>
      <c r="L26" s="3">
        <v>6</v>
      </c>
      <c r="M26" s="3">
        <v>24</v>
      </c>
      <c r="N26" s="3">
        <v>24</v>
      </c>
      <c r="O26" s="7">
        <f t="shared" si="0"/>
        <v>54.897000433601882</v>
      </c>
      <c r="P26" s="8">
        <f t="shared" si="1"/>
        <v>54.897000433601882</v>
      </c>
      <c r="Q26" s="8">
        <f t="shared" si="2"/>
        <v>0</v>
      </c>
      <c r="S26">
        <f t="shared" si="3"/>
        <v>0</v>
      </c>
    </row>
    <row r="27" spans="1:19" x14ac:dyDescent="0.25">
      <c r="A27" s="3">
        <v>26</v>
      </c>
      <c r="B27" s="4">
        <v>1013466</v>
      </c>
      <c r="C27" s="4">
        <v>60</v>
      </c>
      <c r="D27" s="4" t="s">
        <v>19</v>
      </c>
      <c r="E27" s="5">
        <v>45458</v>
      </c>
      <c r="F27" s="5">
        <v>45458</v>
      </c>
      <c r="G27" s="4" t="s">
        <v>9</v>
      </c>
      <c r="H27" s="3" t="s">
        <v>22</v>
      </c>
      <c r="I27" s="3">
        <v>0</v>
      </c>
      <c r="J27" s="3">
        <v>1</v>
      </c>
      <c r="K27" s="3">
        <v>1</v>
      </c>
      <c r="L27" s="3">
        <v>1</v>
      </c>
      <c r="M27" s="3">
        <v>24</v>
      </c>
      <c r="N27" s="3">
        <v>24</v>
      </c>
      <c r="O27" s="7">
        <f t="shared" si="0"/>
        <v>54.897000433601882</v>
      </c>
      <c r="P27" s="8">
        <f t="shared" si="1"/>
        <v>54.897000433601882</v>
      </c>
      <c r="Q27" s="8">
        <f t="shared" si="2"/>
        <v>0</v>
      </c>
      <c r="S27">
        <f t="shared" si="3"/>
        <v>0</v>
      </c>
    </row>
    <row r="28" spans="1:19" x14ac:dyDescent="0.25">
      <c r="A28" s="3">
        <v>27</v>
      </c>
      <c r="B28" s="4">
        <v>1034601</v>
      </c>
      <c r="C28" s="4">
        <v>49</v>
      </c>
      <c r="D28" s="4" t="s">
        <v>17</v>
      </c>
      <c r="E28" s="5">
        <v>45462</v>
      </c>
      <c r="F28" s="6">
        <v>45766</v>
      </c>
      <c r="G28" s="4" t="s">
        <v>9</v>
      </c>
      <c r="H28" s="3" t="s">
        <v>18</v>
      </c>
      <c r="I28" s="3">
        <v>0</v>
      </c>
      <c r="J28" s="3">
        <v>5</v>
      </c>
      <c r="K28" s="3">
        <v>6</v>
      </c>
      <c r="L28" s="3">
        <v>37</v>
      </c>
      <c r="M28" s="3">
        <v>12</v>
      </c>
      <c r="N28" s="3">
        <v>7.5</v>
      </c>
      <c r="O28" s="7">
        <f t="shared" si="0"/>
        <v>69.948500216800937</v>
      </c>
      <c r="P28" s="8">
        <f t="shared" si="1"/>
        <v>80.154499349597174</v>
      </c>
      <c r="Q28" s="8">
        <f t="shared" si="2"/>
        <v>10.205999132796236</v>
      </c>
      <c r="S28">
        <f t="shared" si="3"/>
        <v>0</v>
      </c>
    </row>
    <row r="29" spans="1:19" x14ac:dyDescent="0.25">
      <c r="A29" s="3">
        <v>28</v>
      </c>
      <c r="B29" s="4">
        <v>1034601</v>
      </c>
      <c r="C29" s="4">
        <v>49</v>
      </c>
      <c r="D29" s="4" t="s">
        <v>17</v>
      </c>
      <c r="E29" s="5">
        <v>45462</v>
      </c>
      <c r="F29" s="6">
        <v>45766</v>
      </c>
      <c r="G29" s="4" t="s">
        <v>9</v>
      </c>
      <c r="H29" s="3" t="s">
        <v>22</v>
      </c>
      <c r="I29" s="3">
        <v>0</v>
      </c>
      <c r="J29" s="3">
        <v>1</v>
      </c>
      <c r="K29" s="3">
        <v>6</v>
      </c>
      <c r="L29" s="3">
        <v>37</v>
      </c>
      <c r="M29" s="3">
        <v>36</v>
      </c>
      <c r="N29" s="3">
        <v>36</v>
      </c>
      <c r="O29" s="7">
        <f t="shared" si="0"/>
        <v>46.092437480817821</v>
      </c>
      <c r="P29" s="8">
        <f t="shared" si="1"/>
        <v>46.092437480817821</v>
      </c>
      <c r="Q29" s="8">
        <f t="shared" si="2"/>
        <v>0</v>
      </c>
      <c r="S29">
        <f t="shared" si="3"/>
        <v>0</v>
      </c>
    </row>
    <row r="30" spans="1:19" x14ac:dyDescent="0.25">
      <c r="A30" s="3">
        <v>29</v>
      </c>
      <c r="B30" s="4">
        <v>1034690</v>
      </c>
      <c r="C30" s="4">
        <v>80</v>
      </c>
      <c r="D30" s="4" t="s">
        <v>17</v>
      </c>
      <c r="E30" s="5">
        <v>45462</v>
      </c>
      <c r="F30" s="6">
        <v>45696</v>
      </c>
      <c r="G30" s="4" t="s">
        <v>9</v>
      </c>
      <c r="H30" s="3" t="s">
        <v>18</v>
      </c>
      <c r="I30" s="3">
        <v>0</v>
      </c>
      <c r="J30" s="3">
        <v>2</v>
      </c>
      <c r="K30" s="3">
        <v>2</v>
      </c>
      <c r="L30" s="3">
        <v>12</v>
      </c>
      <c r="M30" s="3">
        <v>60</v>
      </c>
      <c r="N30" s="3">
        <v>60</v>
      </c>
      <c r="O30" s="7">
        <f t="shared" si="0"/>
        <v>35</v>
      </c>
      <c r="P30" s="8">
        <f t="shared" si="1"/>
        <v>35</v>
      </c>
      <c r="Q30" s="8">
        <f t="shared" si="2"/>
        <v>0</v>
      </c>
      <c r="S30">
        <f t="shared" si="3"/>
        <v>0</v>
      </c>
    </row>
    <row r="31" spans="1:19" x14ac:dyDescent="0.25">
      <c r="A31" s="3">
        <v>30</v>
      </c>
      <c r="B31" s="4">
        <v>1027719</v>
      </c>
      <c r="C31" s="4">
        <v>64</v>
      </c>
      <c r="D31" s="4" t="s">
        <v>17</v>
      </c>
      <c r="E31" s="5">
        <v>45469</v>
      </c>
      <c r="F31" s="6">
        <v>45479</v>
      </c>
      <c r="G31" s="4" t="s">
        <v>9</v>
      </c>
      <c r="H31" s="3" t="s">
        <v>22</v>
      </c>
      <c r="I31" s="3">
        <v>0</v>
      </c>
      <c r="J31" s="3">
        <v>1</v>
      </c>
      <c r="K31" s="3">
        <v>1</v>
      </c>
      <c r="L31" s="3">
        <v>4</v>
      </c>
      <c r="M31" s="3" t="s">
        <v>31</v>
      </c>
      <c r="N31" s="3">
        <v>24</v>
      </c>
      <c r="O31" s="7">
        <v>0</v>
      </c>
      <c r="P31" s="8">
        <f t="shared" ref="P31:P43" si="4">85+50*LOG10(6/N31)</f>
        <v>54.897000433601882</v>
      </c>
      <c r="Q31" s="8">
        <f t="shared" si="2"/>
        <v>54.897000433601882</v>
      </c>
      <c r="S31">
        <f t="shared" si="3"/>
        <v>0</v>
      </c>
    </row>
    <row r="32" spans="1:19" x14ac:dyDescent="0.25">
      <c r="A32" s="3">
        <v>31</v>
      </c>
      <c r="B32" s="4">
        <v>1034798</v>
      </c>
      <c r="C32" s="4">
        <v>61</v>
      </c>
      <c r="D32" s="4" t="s">
        <v>19</v>
      </c>
      <c r="E32" s="5">
        <v>45470</v>
      </c>
      <c r="F32" s="6">
        <v>45778</v>
      </c>
      <c r="G32" s="4" t="s">
        <v>9</v>
      </c>
      <c r="H32" s="3" t="s">
        <v>18</v>
      </c>
      <c r="I32" s="3">
        <v>0</v>
      </c>
      <c r="J32" s="3">
        <v>3</v>
      </c>
      <c r="K32" s="3">
        <v>3</v>
      </c>
      <c r="L32" s="3">
        <v>13</v>
      </c>
      <c r="M32" s="3">
        <v>36</v>
      </c>
      <c r="N32" s="3">
        <v>60</v>
      </c>
      <c r="O32" s="7">
        <f t="shared" ref="O32:O61" si="5">85+50*LOG10(6/M32)</f>
        <v>46.092437480817821</v>
      </c>
      <c r="P32" s="8">
        <f t="shared" si="4"/>
        <v>35</v>
      </c>
      <c r="Q32" s="8">
        <f t="shared" ref="Q32:Q62" si="6">P32-O32</f>
        <v>-11.092437480817821</v>
      </c>
      <c r="R32" t="s">
        <v>80</v>
      </c>
      <c r="S32">
        <f t="shared" si="3"/>
        <v>1</v>
      </c>
    </row>
    <row r="33" spans="1:19" x14ac:dyDescent="0.25">
      <c r="A33" s="3">
        <v>32</v>
      </c>
      <c r="B33" s="4">
        <v>1033089</v>
      </c>
      <c r="C33" s="4">
        <v>73</v>
      </c>
      <c r="D33" s="4" t="s">
        <v>19</v>
      </c>
      <c r="E33" s="5">
        <v>45470</v>
      </c>
      <c r="F33" s="5">
        <v>45470</v>
      </c>
      <c r="G33" s="4" t="s">
        <v>9</v>
      </c>
      <c r="H33" s="3" t="s">
        <v>18</v>
      </c>
      <c r="I33" s="3">
        <v>0</v>
      </c>
      <c r="J33" s="3">
        <v>1</v>
      </c>
      <c r="K33" s="3">
        <v>1</v>
      </c>
      <c r="L33" s="3">
        <v>1</v>
      </c>
      <c r="M33" s="3">
        <v>9</v>
      </c>
      <c r="N33" s="3">
        <v>6</v>
      </c>
      <c r="O33" s="7">
        <f t="shared" si="5"/>
        <v>76.195437047215933</v>
      </c>
      <c r="P33" s="8">
        <f t="shared" si="4"/>
        <v>85</v>
      </c>
      <c r="Q33" s="8">
        <f t="shared" si="6"/>
        <v>8.8045629527840674</v>
      </c>
      <c r="S33">
        <f t="shared" si="3"/>
        <v>0</v>
      </c>
    </row>
    <row r="34" spans="1:19" x14ac:dyDescent="0.25">
      <c r="A34" s="3">
        <v>33</v>
      </c>
      <c r="B34" s="3">
        <v>1034928</v>
      </c>
      <c r="C34" s="4">
        <v>67</v>
      </c>
      <c r="D34" s="4" t="s">
        <v>19</v>
      </c>
      <c r="E34" s="5">
        <v>45468</v>
      </c>
      <c r="F34" s="6">
        <v>45535</v>
      </c>
      <c r="G34" s="4" t="s">
        <v>9</v>
      </c>
      <c r="H34" s="3" t="s">
        <v>18</v>
      </c>
      <c r="I34" s="3">
        <v>0</v>
      </c>
      <c r="J34" s="3">
        <v>2</v>
      </c>
      <c r="K34" s="3">
        <v>3</v>
      </c>
      <c r="L34" s="3">
        <v>7</v>
      </c>
      <c r="M34" s="3">
        <v>36</v>
      </c>
      <c r="N34" s="3">
        <v>24</v>
      </c>
      <c r="O34" s="7">
        <f t="shared" si="5"/>
        <v>46.092437480817821</v>
      </c>
      <c r="P34" s="8">
        <f t="shared" si="4"/>
        <v>54.897000433601882</v>
      </c>
      <c r="Q34" s="8">
        <f t="shared" si="6"/>
        <v>8.8045629527840603</v>
      </c>
      <c r="S34">
        <f t="shared" si="3"/>
        <v>0</v>
      </c>
    </row>
    <row r="35" spans="1:19" x14ac:dyDescent="0.25">
      <c r="A35" s="3">
        <v>34</v>
      </c>
      <c r="B35" s="4" t="s">
        <v>32</v>
      </c>
      <c r="C35" s="4">
        <v>67</v>
      </c>
      <c r="D35" s="4" t="s">
        <v>19</v>
      </c>
      <c r="E35" s="5">
        <v>45476</v>
      </c>
      <c r="F35" s="6">
        <v>45553</v>
      </c>
      <c r="G35" s="4" t="s">
        <v>9</v>
      </c>
      <c r="H35" s="3" t="s">
        <v>18</v>
      </c>
      <c r="I35" s="3">
        <v>0</v>
      </c>
      <c r="J35" s="3">
        <v>1</v>
      </c>
      <c r="K35" s="3">
        <v>2</v>
      </c>
      <c r="L35" s="3">
        <v>8</v>
      </c>
      <c r="M35" s="3">
        <v>9</v>
      </c>
      <c r="N35" s="3">
        <v>9</v>
      </c>
      <c r="O35" s="7">
        <f t="shared" si="5"/>
        <v>76.195437047215933</v>
      </c>
      <c r="P35" s="8">
        <f t="shared" si="4"/>
        <v>76.195437047215933</v>
      </c>
      <c r="Q35" s="8">
        <f t="shared" si="6"/>
        <v>0</v>
      </c>
      <c r="S35">
        <f t="shared" si="3"/>
        <v>0</v>
      </c>
    </row>
    <row r="36" spans="1:19" x14ac:dyDescent="0.25">
      <c r="A36" s="3">
        <v>35</v>
      </c>
      <c r="B36" s="4" t="s">
        <v>32</v>
      </c>
      <c r="C36" s="4">
        <v>67</v>
      </c>
      <c r="D36" s="4" t="s">
        <v>19</v>
      </c>
      <c r="E36" s="5">
        <v>45476</v>
      </c>
      <c r="F36" s="6">
        <v>45553</v>
      </c>
      <c r="G36" s="4" t="s">
        <v>9</v>
      </c>
      <c r="H36" s="3" t="s">
        <v>22</v>
      </c>
      <c r="I36" s="3">
        <v>0</v>
      </c>
      <c r="J36" s="3">
        <v>2</v>
      </c>
      <c r="K36" s="3">
        <v>2</v>
      </c>
      <c r="L36" s="3">
        <v>8</v>
      </c>
      <c r="M36" s="3">
        <v>12</v>
      </c>
      <c r="N36" s="3">
        <v>18</v>
      </c>
      <c r="O36" s="7">
        <f t="shared" si="5"/>
        <v>69.948500216800937</v>
      </c>
      <c r="P36" s="8">
        <f t="shared" si="4"/>
        <v>61.143937264016877</v>
      </c>
      <c r="Q36" s="8">
        <f t="shared" si="6"/>
        <v>-8.8045629527840603</v>
      </c>
      <c r="R36" t="s">
        <v>77</v>
      </c>
      <c r="S36">
        <f t="shared" si="3"/>
        <v>1</v>
      </c>
    </row>
    <row r="37" spans="1:19" x14ac:dyDescent="0.25">
      <c r="A37" s="3">
        <v>36</v>
      </c>
      <c r="B37" s="4">
        <v>1033239</v>
      </c>
      <c r="C37" s="4">
        <v>50</v>
      </c>
      <c r="D37" s="4" t="s">
        <v>19</v>
      </c>
      <c r="E37" s="5">
        <v>45426</v>
      </c>
      <c r="F37" s="6">
        <v>45520</v>
      </c>
      <c r="G37" s="4" t="s">
        <v>9</v>
      </c>
      <c r="H37" s="3" t="s">
        <v>22</v>
      </c>
      <c r="I37" s="3">
        <v>0</v>
      </c>
      <c r="J37" s="3">
        <v>1</v>
      </c>
      <c r="K37" s="3">
        <v>1</v>
      </c>
      <c r="L37" s="3">
        <v>15</v>
      </c>
      <c r="M37" s="3">
        <v>18</v>
      </c>
      <c r="N37" s="3">
        <v>9</v>
      </c>
      <c r="O37" s="7">
        <f t="shared" si="5"/>
        <v>61.143937264016877</v>
      </c>
      <c r="P37" s="8">
        <f t="shared" si="4"/>
        <v>76.195437047215933</v>
      </c>
      <c r="Q37" s="8">
        <f t="shared" si="6"/>
        <v>15.051499783199056</v>
      </c>
      <c r="S37">
        <f t="shared" si="3"/>
        <v>0</v>
      </c>
    </row>
    <row r="38" spans="1:19" x14ac:dyDescent="0.25">
      <c r="A38" s="3">
        <v>37</v>
      </c>
      <c r="B38" s="4">
        <v>1035552</v>
      </c>
      <c r="C38" s="4">
        <v>63</v>
      </c>
      <c r="D38" s="4" t="s">
        <v>19</v>
      </c>
      <c r="E38" s="5">
        <v>45485</v>
      </c>
      <c r="F38" s="6">
        <v>45582</v>
      </c>
      <c r="G38" s="4" t="s">
        <v>9</v>
      </c>
      <c r="H38" s="3" t="s">
        <v>18</v>
      </c>
      <c r="I38" s="3">
        <v>0</v>
      </c>
      <c r="J38" s="3">
        <v>1</v>
      </c>
      <c r="K38" s="3">
        <v>1</v>
      </c>
      <c r="L38" s="3">
        <v>8</v>
      </c>
      <c r="M38" s="3">
        <v>18</v>
      </c>
      <c r="N38" s="3">
        <v>12</v>
      </c>
      <c r="O38" s="7">
        <f t="shared" si="5"/>
        <v>61.143937264016877</v>
      </c>
      <c r="P38" s="8">
        <f t="shared" si="4"/>
        <v>69.948500216800937</v>
      </c>
      <c r="Q38" s="8">
        <f t="shared" si="6"/>
        <v>8.8045629527840603</v>
      </c>
      <c r="S38">
        <f t="shared" si="3"/>
        <v>0</v>
      </c>
    </row>
    <row r="39" spans="1:19" x14ac:dyDescent="0.25">
      <c r="A39" s="3">
        <v>38</v>
      </c>
      <c r="B39" s="4">
        <v>1031570</v>
      </c>
      <c r="C39" s="4">
        <v>58</v>
      </c>
      <c r="D39" s="4" t="s">
        <v>19</v>
      </c>
      <c r="E39" s="5">
        <v>45440</v>
      </c>
      <c r="F39" s="6">
        <v>45996</v>
      </c>
      <c r="G39" s="4" t="s">
        <v>9</v>
      </c>
      <c r="H39" s="3" t="s">
        <v>22</v>
      </c>
      <c r="I39" s="3">
        <v>0</v>
      </c>
      <c r="J39" s="3">
        <v>1</v>
      </c>
      <c r="K39" s="3">
        <v>1</v>
      </c>
      <c r="L39" s="3">
        <v>8</v>
      </c>
      <c r="M39" s="3">
        <v>6</v>
      </c>
      <c r="N39" s="3">
        <v>6</v>
      </c>
      <c r="O39" s="7">
        <f t="shared" si="5"/>
        <v>85</v>
      </c>
      <c r="P39" s="8">
        <f t="shared" si="4"/>
        <v>85</v>
      </c>
      <c r="Q39" s="8">
        <f t="shared" si="6"/>
        <v>0</v>
      </c>
      <c r="S39">
        <f t="shared" si="3"/>
        <v>0</v>
      </c>
    </row>
    <row r="40" spans="1:19" x14ac:dyDescent="0.25">
      <c r="A40" s="3">
        <v>39</v>
      </c>
      <c r="B40" s="4">
        <v>1035067</v>
      </c>
      <c r="C40" s="4">
        <v>59</v>
      </c>
      <c r="D40" s="4" t="s">
        <v>17</v>
      </c>
      <c r="E40" s="5">
        <v>45489</v>
      </c>
      <c r="F40" s="6">
        <v>45714</v>
      </c>
      <c r="G40" s="4" t="s">
        <v>9</v>
      </c>
      <c r="H40" s="3" t="s">
        <v>22</v>
      </c>
      <c r="I40" s="3">
        <v>0</v>
      </c>
      <c r="J40" s="3">
        <v>1</v>
      </c>
      <c r="K40" s="3">
        <v>1</v>
      </c>
      <c r="L40" s="3">
        <v>20</v>
      </c>
      <c r="M40" s="3">
        <v>9</v>
      </c>
      <c r="N40" s="3">
        <v>7.5</v>
      </c>
      <c r="O40" s="7">
        <f t="shared" si="5"/>
        <v>76.195437047215933</v>
      </c>
      <c r="P40" s="8">
        <f t="shared" si="4"/>
        <v>80.154499349597174</v>
      </c>
      <c r="Q40" s="8">
        <f t="shared" si="6"/>
        <v>3.9590623023812412</v>
      </c>
      <c r="S40">
        <f t="shared" si="3"/>
        <v>0</v>
      </c>
    </row>
    <row r="41" spans="1:19" x14ac:dyDescent="0.25">
      <c r="A41" s="3">
        <v>40</v>
      </c>
      <c r="B41" s="4">
        <v>1035525</v>
      </c>
      <c r="C41" s="4">
        <v>64</v>
      </c>
      <c r="D41" s="4" t="s">
        <v>19</v>
      </c>
      <c r="E41" s="5">
        <v>45483</v>
      </c>
      <c r="F41" s="5">
        <v>45491</v>
      </c>
      <c r="G41" s="4" t="s">
        <v>9</v>
      </c>
      <c r="H41" s="3" t="s">
        <v>18</v>
      </c>
      <c r="I41" s="3">
        <v>0</v>
      </c>
      <c r="J41" s="3">
        <v>1</v>
      </c>
      <c r="K41" s="3">
        <v>1</v>
      </c>
      <c r="L41" s="3">
        <v>5</v>
      </c>
      <c r="M41" s="3">
        <v>9</v>
      </c>
      <c r="N41" s="3">
        <v>7.5</v>
      </c>
      <c r="O41" s="7">
        <f t="shared" si="5"/>
        <v>76.195437047215933</v>
      </c>
      <c r="P41" s="8">
        <f t="shared" si="4"/>
        <v>80.154499349597174</v>
      </c>
      <c r="Q41" s="8">
        <f t="shared" si="6"/>
        <v>3.9590623023812412</v>
      </c>
      <c r="S41">
        <f t="shared" si="3"/>
        <v>0</v>
      </c>
    </row>
    <row r="42" spans="1:19" x14ac:dyDescent="0.25">
      <c r="A42" s="3">
        <v>41</v>
      </c>
      <c r="B42" s="4">
        <v>1035434</v>
      </c>
      <c r="C42" s="4">
        <v>62</v>
      </c>
      <c r="D42" s="4" t="s">
        <v>19</v>
      </c>
      <c r="E42" s="5">
        <v>45481</v>
      </c>
      <c r="F42" s="6">
        <v>45548</v>
      </c>
      <c r="G42" s="4" t="s">
        <v>9</v>
      </c>
      <c r="H42" s="3" t="s">
        <v>18</v>
      </c>
      <c r="I42" s="3">
        <v>0</v>
      </c>
      <c r="J42" s="3">
        <v>2</v>
      </c>
      <c r="K42" s="3">
        <v>2</v>
      </c>
      <c r="L42" s="3">
        <v>12</v>
      </c>
      <c r="M42" s="3">
        <v>12</v>
      </c>
      <c r="N42" s="3">
        <v>6</v>
      </c>
      <c r="O42" s="7">
        <f t="shared" si="5"/>
        <v>69.948500216800937</v>
      </c>
      <c r="P42" s="8">
        <f t="shared" si="4"/>
        <v>85</v>
      </c>
      <c r="Q42" s="8">
        <f t="shared" si="6"/>
        <v>15.051499783199063</v>
      </c>
      <c r="S42">
        <f t="shared" si="3"/>
        <v>0</v>
      </c>
    </row>
    <row r="43" spans="1:19" x14ac:dyDescent="0.25">
      <c r="A43" s="3">
        <v>42</v>
      </c>
      <c r="B43" s="4" t="s">
        <v>34</v>
      </c>
      <c r="C43" s="4">
        <v>70</v>
      </c>
      <c r="D43" s="4" t="s">
        <v>19</v>
      </c>
      <c r="E43" s="5">
        <v>45460</v>
      </c>
      <c r="F43" s="6">
        <v>45918</v>
      </c>
      <c r="G43" s="4" t="s">
        <v>9</v>
      </c>
      <c r="H43" s="3" t="s">
        <v>22</v>
      </c>
      <c r="I43" s="3">
        <v>0</v>
      </c>
      <c r="J43" s="3">
        <v>2</v>
      </c>
      <c r="K43" s="3">
        <v>2</v>
      </c>
      <c r="L43" s="3">
        <v>9</v>
      </c>
      <c r="M43" s="3">
        <v>9</v>
      </c>
      <c r="N43" s="3">
        <v>9</v>
      </c>
      <c r="O43" s="7">
        <f t="shared" si="5"/>
        <v>76.195437047215933</v>
      </c>
      <c r="P43" s="8">
        <f t="shared" si="4"/>
        <v>76.195437047215933</v>
      </c>
      <c r="Q43" s="8">
        <f t="shared" si="6"/>
        <v>0</v>
      </c>
      <c r="S43">
        <f t="shared" si="3"/>
        <v>0</v>
      </c>
    </row>
    <row r="44" spans="1:19" x14ac:dyDescent="0.25">
      <c r="A44" s="3">
        <v>43</v>
      </c>
      <c r="B44" s="3" t="s">
        <v>35</v>
      </c>
      <c r="C44" s="4">
        <v>73</v>
      </c>
      <c r="D44" s="4" t="s">
        <v>19</v>
      </c>
      <c r="E44" s="5">
        <v>45500</v>
      </c>
      <c r="F44" s="6">
        <v>45791</v>
      </c>
      <c r="G44" s="4" t="s">
        <v>9</v>
      </c>
      <c r="H44" s="3" t="s">
        <v>22</v>
      </c>
      <c r="I44" s="3">
        <v>0</v>
      </c>
      <c r="J44" s="3">
        <v>1</v>
      </c>
      <c r="K44" s="3">
        <v>1</v>
      </c>
      <c r="L44" s="3">
        <v>5</v>
      </c>
      <c r="M44" s="3">
        <v>300</v>
      </c>
      <c r="N44" s="3" t="s">
        <v>29</v>
      </c>
      <c r="O44" s="7">
        <f t="shared" si="5"/>
        <v>5.1499783199062676E-2</v>
      </c>
      <c r="P44" s="8">
        <v>0</v>
      </c>
      <c r="Q44" s="8">
        <f t="shared" si="6"/>
        <v>-5.1499783199062676E-2</v>
      </c>
      <c r="S44">
        <f t="shared" si="3"/>
        <v>1</v>
      </c>
    </row>
    <row r="45" spans="1:19" x14ac:dyDescent="0.25">
      <c r="A45" s="3">
        <v>44</v>
      </c>
      <c r="B45" s="4">
        <v>1034985</v>
      </c>
      <c r="C45" s="4">
        <v>70</v>
      </c>
      <c r="D45" s="4" t="s">
        <v>19</v>
      </c>
      <c r="E45" s="6">
        <v>45469</v>
      </c>
      <c r="F45" s="5">
        <v>45546</v>
      </c>
      <c r="G45" s="4" t="s">
        <v>9</v>
      </c>
      <c r="H45" s="3" t="s">
        <v>18</v>
      </c>
      <c r="I45" s="3">
        <v>0</v>
      </c>
      <c r="J45" s="3">
        <v>1</v>
      </c>
      <c r="K45" s="3">
        <v>1</v>
      </c>
      <c r="L45" s="3">
        <v>17</v>
      </c>
      <c r="M45" s="3">
        <v>9</v>
      </c>
      <c r="N45" s="3">
        <v>9</v>
      </c>
      <c r="O45" s="7">
        <f t="shared" si="5"/>
        <v>76.195437047215933</v>
      </c>
      <c r="P45" s="8">
        <f t="shared" ref="P45:P53" si="7">85+50*LOG10(6/N45)</f>
        <v>76.195437047215933</v>
      </c>
      <c r="Q45" s="8">
        <f t="shared" si="6"/>
        <v>0</v>
      </c>
      <c r="S45">
        <f t="shared" si="3"/>
        <v>0</v>
      </c>
    </row>
    <row r="46" spans="1:19" x14ac:dyDescent="0.25">
      <c r="A46" s="3">
        <v>45</v>
      </c>
      <c r="B46" s="4">
        <v>1035579</v>
      </c>
      <c r="C46" s="4">
        <v>75</v>
      </c>
      <c r="D46" s="4" t="s">
        <v>17</v>
      </c>
      <c r="E46" s="5">
        <v>45484</v>
      </c>
      <c r="F46" s="6">
        <v>45556</v>
      </c>
      <c r="G46" s="4" t="s">
        <v>9</v>
      </c>
      <c r="H46" s="3" t="s">
        <v>22</v>
      </c>
      <c r="I46" s="3">
        <v>0</v>
      </c>
      <c r="J46" s="3">
        <v>1</v>
      </c>
      <c r="K46" s="3">
        <v>1</v>
      </c>
      <c r="L46" s="3">
        <v>7</v>
      </c>
      <c r="M46" s="3">
        <v>12</v>
      </c>
      <c r="N46" s="3">
        <v>7.5</v>
      </c>
      <c r="O46" s="7">
        <f t="shared" si="5"/>
        <v>69.948500216800937</v>
      </c>
      <c r="P46" s="8">
        <f t="shared" si="7"/>
        <v>80.154499349597174</v>
      </c>
      <c r="Q46" s="8">
        <f t="shared" si="6"/>
        <v>10.205999132796236</v>
      </c>
      <c r="S46">
        <f t="shared" si="3"/>
        <v>0</v>
      </c>
    </row>
    <row r="47" spans="1:19" x14ac:dyDescent="0.25">
      <c r="A47" s="3">
        <v>46</v>
      </c>
      <c r="B47" s="4">
        <v>1008403</v>
      </c>
      <c r="C47" s="4">
        <v>64</v>
      </c>
      <c r="D47" s="4" t="s">
        <v>19</v>
      </c>
      <c r="E47" s="5">
        <v>45518</v>
      </c>
      <c r="F47" s="6">
        <v>45734</v>
      </c>
      <c r="G47" s="4" t="s">
        <v>9</v>
      </c>
      <c r="H47" s="3" t="s">
        <v>18</v>
      </c>
      <c r="I47" s="3">
        <v>0</v>
      </c>
      <c r="J47" s="3">
        <v>1</v>
      </c>
      <c r="K47" s="3">
        <v>1</v>
      </c>
      <c r="L47" s="3">
        <v>2</v>
      </c>
      <c r="M47" s="3">
        <v>24</v>
      </c>
      <c r="N47" s="3">
        <v>7.5</v>
      </c>
      <c r="O47" s="7">
        <f t="shared" si="5"/>
        <v>54.897000433601882</v>
      </c>
      <c r="P47" s="8">
        <f t="shared" si="7"/>
        <v>80.154499349597174</v>
      </c>
      <c r="Q47" s="8">
        <f t="shared" si="6"/>
        <v>25.257498915995292</v>
      </c>
      <c r="S47">
        <f t="shared" si="3"/>
        <v>0</v>
      </c>
    </row>
    <row r="48" spans="1:19" x14ac:dyDescent="0.25">
      <c r="A48" s="3">
        <v>47</v>
      </c>
      <c r="B48" s="4">
        <v>1035051</v>
      </c>
      <c r="C48" s="4">
        <v>58</v>
      </c>
      <c r="D48" s="4" t="s">
        <v>17</v>
      </c>
      <c r="E48" s="5">
        <v>45471</v>
      </c>
      <c r="F48" s="6">
        <v>45584</v>
      </c>
      <c r="G48" s="4" t="s">
        <v>9</v>
      </c>
      <c r="H48" s="3" t="s">
        <v>18</v>
      </c>
      <c r="I48" s="3">
        <v>0</v>
      </c>
      <c r="J48" s="3">
        <v>1</v>
      </c>
      <c r="K48" s="3">
        <v>1</v>
      </c>
      <c r="L48" s="3">
        <v>16</v>
      </c>
      <c r="M48" s="3">
        <v>60</v>
      </c>
      <c r="N48" s="3">
        <v>60</v>
      </c>
      <c r="O48" s="7">
        <f t="shared" si="5"/>
        <v>35</v>
      </c>
      <c r="P48" s="8">
        <f t="shared" si="7"/>
        <v>35</v>
      </c>
      <c r="Q48" s="8">
        <f t="shared" si="6"/>
        <v>0</v>
      </c>
      <c r="S48">
        <f t="shared" si="3"/>
        <v>0</v>
      </c>
    </row>
    <row r="49" spans="1:19" x14ac:dyDescent="0.25">
      <c r="A49" s="3">
        <v>48</v>
      </c>
      <c r="B49" s="4">
        <v>806334</v>
      </c>
      <c r="C49" s="4">
        <v>72</v>
      </c>
      <c r="D49" s="4" t="s">
        <v>19</v>
      </c>
      <c r="E49" s="5">
        <v>45518</v>
      </c>
      <c r="F49" s="6">
        <v>45836</v>
      </c>
      <c r="G49" s="4" t="s">
        <v>9</v>
      </c>
      <c r="H49" s="3" t="s">
        <v>22</v>
      </c>
      <c r="I49" s="3">
        <v>0</v>
      </c>
      <c r="J49" s="3">
        <v>3</v>
      </c>
      <c r="K49" s="3">
        <v>3</v>
      </c>
      <c r="L49" s="3">
        <v>8</v>
      </c>
      <c r="M49" s="3">
        <v>36</v>
      </c>
      <c r="N49" s="3">
        <v>24</v>
      </c>
      <c r="O49" s="7">
        <f t="shared" si="5"/>
        <v>46.092437480817821</v>
      </c>
      <c r="P49" s="8">
        <f t="shared" si="7"/>
        <v>54.897000433601882</v>
      </c>
      <c r="Q49" s="8">
        <f t="shared" si="6"/>
        <v>8.8045629527840603</v>
      </c>
      <c r="S49">
        <f t="shared" si="3"/>
        <v>0</v>
      </c>
    </row>
    <row r="50" spans="1:19" x14ac:dyDescent="0.25">
      <c r="A50" s="3">
        <v>49</v>
      </c>
      <c r="B50" s="4">
        <v>1035435</v>
      </c>
      <c r="C50" s="4">
        <v>62</v>
      </c>
      <c r="D50" s="4" t="s">
        <v>19</v>
      </c>
      <c r="E50" s="5">
        <v>45519</v>
      </c>
      <c r="F50" s="6">
        <v>45584</v>
      </c>
      <c r="G50" s="4" t="s">
        <v>9</v>
      </c>
      <c r="H50" s="3" t="s">
        <v>18</v>
      </c>
      <c r="I50" s="3">
        <v>0</v>
      </c>
      <c r="J50" s="3">
        <v>1</v>
      </c>
      <c r="K50" s="3">
        <v>1</v>
      </c>
      <c r="L50" s="3">
        <v>16</v>
      </c>
      <c r="M50" s="3">
        <v>60</v>
      </c>
      <c r="N50" s="3">
        <v>60</v>
      </c>
      <c r="O50" s="7">
        <f t="shared" si="5"/>
        <v>35</v>
      </c>
      <c r="P50" s="8">
        <f t="shared" si="7"/>
        <v>35</v>
      </c>
      <c r="Q50" s="8">
        <f t="shared" si="6"/>
        <v>0</v>
      </c>
      <c r="S50">
        <f t="shared" si="3"/>
        <v>0</v>
      </c>
    </row>
    <row r="51" spans="1:19" x14ac:dyDescent="0.25">
      <c r="A51" s="3">
        <v>50</v>
      </c>
      <c r="B51" s="4" t="s">
        <v>37</v>
      </c>
      <c r="C51" s="4">
        <v>56</v>
      </c>
      <c r="D51" s="4" t="s">
        <v>19</v>
      </c>
      <c r="E51" s="5">
        <v>45531</v>
      </c>
      <c r="F51" s="6">
        <v>45533</v>
      </c>
      <c r="G51" s="4" t="s">
        <v>9</v>
      </c>
      <c r="H51" s="3" t="s">
        <v>18</v>
      </c>
      <c r="I51" s="3">
        <v>0</v>
      </c>
      <c r="J51" s="3">
        <v>1</v>
      </c>
      <c r="K51" s="3">
        <v>1</v>
      </c>
      <c r="L51" s="3">
        <v>5</v>
      </c>
      <c r="M51" s="3">
        <v>7.5</v>
      </c>
      <c r="N51" s="3">
        <v>6</v>
      </c>
      <c r="O51" s="7">
        <f t="shared" si="5"/>
        <v>80.154499349597174</v>
      </c>
      <c r="P51" s="8">
        <f t="shared" si="7"/>
        <v>85</v>
      </c>
      <c r="Q51" s="8">
        <f t="shared" si="6"/>
        <v>4.8455006504028262</v>
      </c>
      <c r="S51">
        <f t="shared" si="3"/>
        <v>0</v>
      </c>
    </row>
    <row r="52" spans="1:19" x14ac:dyDescent="0.25">
      <c r="A52" s="3">
        <v>51</v>
      </c>
      <c r="B52" s="4" t="s">
        <v>37</v>
      </c>
      <c r="C52" s="4">
        <v>56</v>
      </c>
      <c r="D52" s="4" t="s">
        <v>19</v>
      </c>
      <c r="E52" s="5">
        <v>45532</v>
      </c>
      <c r="F52" s="6">
        <v>45533</v>
      </c>
      <c r="G52" s="4" t="s">
        <v>9</v>
      </c>
      <c r="H52" s="3" t="s">
        <v>22</v>
      </c>
      <c r="I52" s="3">
        <v>0</v>
      </c>
      <c r="J52" s="3">
        <v>1</v>
      </c>
      <c r="K52" s="3">
        <v>1</v>
      </c>
      <c r="L52" s="3">
        <v>5</v>
      </c>
      <c r="M52" s="3">
        <v>9</v>
      </c>
      <c r="N52" s="3">
        <v>9</v>
      </c>
      <c r="O52" s="7">
        <f t="shared" si="5"/>
        <v>76.195437047215933</v>
      </c>
      <c r="P52" s="8">
        <f t="shared" si="7"/>
        <v>76.195437047215933</v>
      </c>
      <c r="Q52" s="8">
        <f t="shared" si="6"/>
        <v>0</v>
      </c>
      <c r="S52">
        <f t="shared" si="3"/>
        <v>0</v>
      </c>
    </row>
    <row r="53" spans="1:19" x14ac:dyDescent="0.25">
      <c r="A53" s="3">
        <v>52</v>
      </c>
      <c r="B53" s="4">
        <v>1037415</v>
      </c>
      <c r="C53" s="4">
        <v>64</v>
      </c>
      <c r="D53" s="4" t="s">
        <v>19</v>
      </c>
      <c r="E53" s="5">
        <v>45533</v>
      </c>
      <c r="F53" s="5">
        <v>45533</v>
      </c>
      <c r="G53" s="4" t="s">
        <v>9</v>
      </c>
      <c r="H53" s="3" t="s">
        <v>18</v>
      </c>
      <c r="I53" s="3">
        <v>0</v>
      </c>
      <c r="J53" s="3">
        <v>1</v>
      </c>
      <c r="K53" s="3">
        <v>1</v>
      </c>
      <c r="L53" s="3">
        <v>3</v>
      </c>
      <c r="M53" s="3">
        <v>12</v>
      </c>
      <c r="N53" s="3">
        <v>12</v>
      </c>
      <c r="O53" s="7">
        <f t="shared" si="5"/>
        <v>69.948500216800937</v>
      </c>
      <c r="P53" s="8">
        <f t="shared" si="7"/>
        <v>69.948500216800937</v>
      </c>
      <c r="Q53" s="8">
        <f t="shared" si="6"/>
        <v>0</v>
      </c>
      <c r="S53">
        <f t="shared" si="3"/>
        <v>0</v>
      </c>
    </row>
    <row r="54" spans="1:19" x14ac:dyDescent="0.25">
      <c r="A54" s="3">
        <v>53</v>
      </c>
      <c r="B54" s="4">
        <v>1037398</v>
      </c>
      <c r="C54" s="4">
        <v>45</v>
      </c>
      <c r="D54" s="4" t="s">
        <v>19</v>
      </c>
      <c r="E54" s="5">
        <v>45532</v>
      </c>
      <c r="F54" s="6">
        <v>45778</v>
      </c>
      <c r="G54" s="4" t="s">
        <v>9</v>
      </c>
      <c r="H54" s="3" t="s">
        <v>22</v>
      </c>
      <c r="I54" s="3">
        <v>0</v>
      </c>
      <c r="J54" s="3">
        <v>1</v>
      </c>
      <c r="K54" s="3">
        <v>1</v>
      </c>
      <c r="L54" s="3">
        <v>22</v>
      </c>
      <c r="M54" s="3">
        <v>6</v>
      </c>
      <c r="N54" s="3">
        <v>12</v>
      </c>
      <c r="O54" s="7">
        <f t="shared" si="5"/>
        <v>85</v>
      </c>
      <c r="P54" s="8">
        <f t="shared" ref="P54:P84" si="8">85+50*LOG10(6/N54)</f>
        <v>69.948500216800937</v>
      </c>
      <c r="Q54" s="8">
        <f t="shared" si="6"/>
        <v>-15.051499783199063</v>
      </c>
      <c r="R54" t="s">
        <v>81</v>
      </c>
      <c r="S54">
        <f t="shared" si="3"/>
        <v>1</v>
      </c>
    </row>
    <row r="55" spans="1:19" x14ac:dyDescent="0.25">
      <c r="A55" s="3">
        <v>54</v>
      </c>
      <c r="B55" s="4">
        <v>193820</v>
      </c>
      <c r="C55" s="4">
        <v>78</v>
      </c>
      <c r="D55" s="4" t="s">
        <v>19</v>
      </c>
      <c r="E55" s="5">
        <v>45500</v>
      </c>
      <c r="F55" s="6">
        <v>45575</v>
      </c>
      <c r="G55" s="4" t="s">
        <v>9</v>
      </c>
      <c r="H55" s="3" t="s">
        <v>18</v>
      </c>
      <c r="I55" s="3">
        <v>0</v>
      </c>
      <c r="J55" s="3">
        <v>1</v>
      </c>
      <c r="K55" s="3">
        <v>1</v>
      </c>
      <c r="L55" s="3">
        <v>7</v>
      </c>
      <c r="M55" s="3">
        <v>180</v>
      </c>
      <c r="N55" s="3">
        <v>9</v>
      </c>
      <c r="O55" s="7">
        <f t="shared" si="5"/>
        <v>11.143937264016884</v>
      </c>
      <c r="P55" s="8">
        <f t="shared" si="8"/>
        <v>76.195437047215933</v>
      </c>
      <c r="Q55" s="8">
        <f t="shared" si="6"/>
        <v>65.051499783199048</v>
      </c>
      <c r="S55">
        <f t="shared" si="3"/>
        <v>0</v>
      </c>
    </row>
    <row r="56" spans="1:19" x14ac:dyDescent="0.25">
      <c r="A56" s="3">
        <v>55</v>
      </c>
      <c r="B56" s="4">
        <v>1037507</v>
      </c>
      <c r="C56" s="4">
        <v>62</v>
      </c>
      <c r="D56" s="4" t="s">
        <v>19</v>
      </c>
      <c r="E56" s="5">
        <v>45535</v>
      </c>
      <c r="F56" s="6">
        <v>45955</v>
      </c>
      <c r="G56" s="4" t="s">
        <v>9</v>
      </c>
      <c r="H56" s="3" t="s">
        <v>18</v>
      </c>
      <c r="I56" s="3">
        <v>0</v>
      </c>
      <c r="J56" s="3">
        <v>4</v>
      </c>
      <c r="K56" s="3">
        <v>4</v>
      </c>
      <c r="L56" s="3">
        <v>30</v>
      </c>
      <c r="M56" s="3">
        <v>9</v>
      </c>
      <c r="N56" s="3">
        <v>6</v>
      </c>
      <c r="O56" s="7">
        <f t="shared" si="5"/>
        <v>76.195437047215933</v>
      </c>
      <c r="P56" s="8">
        <f t="shared" si="8"/>
        <v>85</v>
      </c>
      <c r="Q56" s="8">
        <f t="shared" si="6"/>
        <v>8.8045629527840674</v>
      </c>
      <c r="S56">
        <f t="shared" si="3"/>
        <v>0</v>
      </c>
    </row>
    <row r="57" spans="1:19" x14ac:dyDescent="0.25">
      <c r="A57" s="3">
        <v>56</v>
      </c>
      <c r="B57" s="4">
        <v>3071243</v>
      </c>
      <c r="C57" s="4">
        <v>60</v>
      </c>
      <c r="D57" s="4" t="s">
        <v>17</v>
      </c>
      <c r="E57" s="5">
        <v>45530</v>
      </c>
      <c r="F57" s="6">
        <v>45581</v>
      </c>
      <c r="G57" s="4" t="s">
        <v>9</v>
      </c>
      <c r="H57" s="3" t="s">
        <v>18</v>
      </c>
      <c r="I57" s="3">
        <v>0</v>
      </c>
      <c r="J57" s="3">
        <v>1</v>
      </c>
      <c r="K57" s="3">
        <v>1</v>
      </c>
      <c r="L57" s="3">
        <v>5</v>
      </c>
      <c r="M57" s="3">
        <v>7.5</v>
      </c>
      <c r="N57" s="3">
        <v>7.5</v>
      </c>
      <c r="O57" s="7">
        <f t="shared" si="5"/>
        <v>80.154499349597174</v>
      </c>
      <c r="P57" s="8">
        <f t="shared" si="8"/>
        <v>80.154499349597174</v>
      </c>
      <c r="Q57" s="8">
        <f t="shared" si="6"/>
        <v>0</v>
      </c>
      <c r="S57">
        <f t="shared" si="3"/>
        <v>0</v>
      </c>
    </row>
    <row r="58" spans="1:19" x14ac:dyDescent="0.25">
      <c r="A58" s="3">
        <v>57</v>
      </c>
      <c r="B58" s="4">
        <v>1037507</v>
      </c>
      <c r="C58" s="4">
        <v>62</v>
      </c>
      <c r="D58" s="4" t="s">
        <v>19</v>
      </c>
      <c r="E58" s="5">
        <v>45542</v>
      </c>
      <c r="F58" s="6">
        <v>45955</v>
      </c>
      <c r="G58" s="4" t="s">
        <v>9</v>
      </c>
      <c r="H58" s="3" t="s">
        <v>22</v>
      </c>
      <c r="I58" s="3">
        <v>0</v>
      </c>
      <c r="J58" s="3">
        <v>4</v>
      </c>
      <c r="K58" s="3">
        <v>4</v>
      </c>
      <c r="L58" s="3">
        <v>30</v>
      </c>
      <c r="M58" s="3">
        <v>18</v>
      </c>
      <c r="N58" s="3">
        <v>9</v>
      </c>
      <c r="O58" s="7">
        <f t="shared" si="5"/>
        <v>61.143937264016877</v>
      </c>
      <c r="P58" s="8">
        <f t="shared" si="8"/>
        <v>76.195437047215933</v>
      </c>
      <c r="Q58" s="8">
        <f t="shared" si="6"/>
        <v>15.051499783199056</v>
      </c>
      <c r="S58">
        <f t="shared" si="3"/>
        <v>0</v>
      </c>
    </row>
    <row r="59" spans="1:19" x14ac:dyDescent="0.25">
      <c r="A59" s="3">
        <v>58</v>
      </c>
      <c r="B59" s="4">
        <v>155229</v>
      </c>
      <c r="C59" s="4">
        <v>68</v>
      </c>
      <c r="D59" s="4" t="s">
        <v>19</v>
      </c>
      <c r="E59" s="5">
        <v>45511</v>
      </c>
      <c r="F59" s="6">
        <v>45640</v>
      </c>
      <c r="G59" s="4" t="s">
        <v>9</v>
      </c>
      <c r="H59" s="3" t="s">
        <v>22</v>
      </c>
      <c r="I59" s="3">
        <v>0</v>
      </c>
      <c r="J59" s="3">
        <v>1</v>
      </c>
      <c r="K59" s="3">
        <v>1</v>
      </c>
      <c r="L59" s="3">
        <v>13</v>
      </c>
      <c r="M59" s="3">
        <v>12</v>
      </c>
      <c r="N59" s="3">
        <v>6</v>
      </c>
      <c r="O59" s="7">
        <f t="shared" si="5"/>
        <v>69.948500216800937</v>
      </c>
      <c r="P59" s="8">
        <f t="shared" si="8"/>
        <v>85</v>
      </c>
      <c r="Q59" s="8">
        <f t="shared" si="6"/>
        <v>15.051499783199063</v>
      </c>
      <c r="S59">
        <f t="shared" si="3"/>
        <v>0</v>
      </c>
    </row>
    <row r="60" spans="1:19" x14ac:dyDescent="0.25">
      <c r="A60" s="3">
        <v>59</v>
      </c>
      <c r="B60" s="4">
        <v>3072932</v>
      </c>
      <c r="C60" s="4">
        <v>51</v>
      </c>
      <c r="D60" s="4" t="s">
        <v>17</v>
      </c>
      <c r="E60" s="5">
        <v>45555</v>
      </c>
      <c r="F60" s="6">
        <v>45612</v>
      </c>
      <c r="G60" s="4" t="s">
        <v>9</v>
      </c>
      <c r="H60" s="3" t="s">
        <v>22</v>
      </c>
      <c r="I60" s="3">
        <v>0</v>
      </c>
      <c r="J60" s="3">
        <v>1</v>
      </c>
      <c r="K60" s="3">
        <v>1</v>
      </c>
      <c r="L60" s="3">
        <v>5</v>
      </c>
      <c r="M60" s="3">
        <v>9</v>
      </c>
      <c r="N60" s="3">
        <v>7.5</v>
      </c>
      <c r="O60" s="7">
        <f t="shared" si="5"/>
        <v>76.195437047215933</v>
      </c>
      <c r="P60" s="8">
        <f t="shared" si="8"/>
        <v>80.154499349597174</v>
      </c>
      <c r="Q60" s="8">
        <f t="shared" si="6"/>
        <v>3.9590623023812412</v>
      </c>
      <c r="S60">
        <f t="shared" si="3"/>
        <v>0</v>
      </c>
    </row>
    <row r="61" spans="1:19" x14ac:dyDescent="0.25">
      <c r="A61" s="3">
        <v>60</v>
      </c>
      <c r="B61" s="4">
        <v>376685</v>
      </c>
      <c r="C61" s="4">
        <v>54</v>
      </c>
      <c r="D61" s="4" t="s">
        <v>17</v>
      </c>
      <c r="E61" s="5">
        <v>45560</v>
      </c>
      <c r="F61" s="6">
        <v>45580</v>
      </c>
      <c r="G61" s="4" t="s">
        <v>9</v>
      </c>
      <c r="H61" s="3" t="s">
        <v>22</v>
      </c>
      <c r="I61" s="3">
        <v>0</v>
      </c>
      <c r="J61" s="3">
        <v>1</v>
      </c>
      <c r="K61" s="3">
        <v>1</v>
      </c>
      <c r="L61" s="3">
        <v>5</v>
      </c>
      <c r="M61" s="3">
        <v>240</v>
      </c>
      <c r="N61" s="3">
        <v>180</v>
      </c>
      <c r="O61" s="7">
        <f t="shared" si="5"/>
        <v>4.8970004336018889</v>
      </c>
      <c r="P61" s="8">
        <f t="shared" si="8"/>
        <v>11.143937264016884</v>
      </c>
      <c r="Q61" s="8">
        <f t="shared" si="6"/>
        <v>6.2469368304149953</v>
      </c>
      <c r="S61">
        <f t="shared" si="3"/>
        <v>0</v>
      </c>
    </row>
    <row r="62" spans="1:19" x14ac:dyDescent="0.25">
      <c r="A62" s="3">
        <v>61</v>
      </c>
      <c r="B62" s="4">
        <v>1036131</v>
      </c>
      <c r="C62" s="4">
        <v>66</v>
      </c>
      <c r="D62" s="4" t="s">
        <v>19</v>
      </c>
      <c r="E62" s="5">
        <v>45498</v>
      </c>
      <c r="F62" s="6">
        <v>45735</v>
      </c>
      <c r="G62" s="3" t="s">
        <v>9</v>
      </c>
      <c r="H62" s="3" t="s">
        <v>22</v>
      </c>
      <c r="I62" s="3">
        <v>0</v>
      </c>
      <c r="J62" s="3">
        <v>2</v>
      </c>
      <c r="K62" s="3">
        <v>2</v>
      </c>
      <c r="L62" s="3">
        <v>14</v>
      </c>
      <c r="M62" s="3">
        <v>9</v>
      </c>
      <c r="N62" s="3">
        <v>9</v>
      </c>
      <c r="O62" s="7">
        <f t="shared" ref="O62:O83" si="9">85+50*LOG10(6/M62)</f>
        <v>76.195437047215933</v>
      </c>
      <c r="P62" s="8">
        <f t="shared" si="8"/>
        <v>76.195437047215933</v>
      </c>
      <c r="Q62" s="8">
        <f t="shared" si="6"/>
        <v>0</v>
      </c>
      <c r="S62">
        <f t="shared" si="3"/>
        <v>0</v>
      </c>
    </row>
    <row r="63" spans="1:19" x14ac:dyDescent="0.25">
      <c r="A63" s="3">
        <v>62</v>
      </c>
      <c r="B63" s="4">
        <v>1033312</v>
      </c>
      <c r="C63" s="4">
        <v>66</v>
      </c>
      <c r="D63" s="4" t="s">
        <v>19</v>
      </c>
      <c r="E63" s="5">
        <v>45569</v>
      </c>
      <c r="F63" s="6">
        <v>45902</v>
      </c>
      <c r="G63" s="3" t="s">
        <v>9</v>
      </c>
      <c r="H63" s="3" t="s">
        <v>22</v>
      </c>
      <c r="I63" s="3">
        <v>0</v>
      </c>
      <c r="J63" s="3">
        <v>1</v>
      </c>
      <c r="K63" s="3">
        <v>1</v>
      </c>
      <c r="L63" s="3">
        <v>8</v>
      </c>
      <c r="M63" s="3">
        <v>6</v>
      </c>
      <c r="N63" s="3">
        <v>6</v>
      </c>
      <c r="O63" s="7">
        <f t="shared" si="9"/>
        <v>85</v>
      </c>
      <c r="P63" s="8">
        <f t="shared" si="8"/>
        <v>85</v>
      </c>
      <c r="Q63" s="8">
        <f t="shared" ref="Q63:Q94" si="10">P63-O63</f>
        <v>0</v>
      </c>
      <c r="S63">
        <f t="shared" si="3"/>
        <v>0</v>
      </c>
    </row>
    <row r="64" spans="1:19" x14ac:dyDescent="0.25">
      <c r="A64" s="3">
        <v>63</v>
      </c>
      <c r="B64" s="4">
        <v>110499</v>
      </c>
      <c r="C64" s="4">
        <v>63</v>
      </c>
      <c r="D64" s="4" t="s">
        <v>19</v>
      </c>
      <c r="E64" s="5">
        <v>45522</v>
      </c>
      <c r="F64" s="6">
        <v>45836</v>
      </c>
      <c r="G64" s="3" t="s">
        <v>9</v>
      </c>
      <c r="H64" s="3" t="s">
        <v>18</v>
      </c>
      <c r="I64" s="3">
        <v>0</v>
      </c>
      <c r="J64" s="3">
        <v>1</v>
      </c>
      <c r="K64" s="3">
        <v>1</v>
      </c>
      <c r="L64" s="3">
        <v>15</v>
      </c>
      <c r="M64" s="3">
        <v>60</v>
      </c>
      <c r="N64" s="3">
        <v>36</v>
      </c>
      <c r="O64" s="7">
        <f t="shared" si="9"/>
        <v>35</v>
      </c>
      <c r="P64" s="8">
        <f t="shared" si="8"/>
        <v>46.092437480817821</v>
      </c>
      <c r="Q64" s="8">
        <f t="shared" si="10"/>
        <v>11.092437480817821</v>
      </c>
      <c r="S64">
        <f t="shared" ref="S64:S127" si="11">COUNTIF(Q64,"&lt;0")</f>
        <v>0</v>
      </c>
    </row>
    <row r="65" spans="1:19" x14ac:dyDescent="0.25">
      <c r="A65" s="3">
        <v>64</v>
      </c>
      <c r="B65" s="4">
        <v>110499</v>
      </c>
      <c r="C65" s="4">
        <v>63</v>
      </c>
      <c r="D65" s="4" t="s">
        <v>19</v>
      </c>
      <c r="E65" s="5">
        <v>45516</v>
      </c>
      <c r="F65" s="6">
        <v>45836</v>
      </c>
      <c r="G65" s="3" t="s">
        <v>9</v>
      </c>
      <c r="H65" s="3" t="s">
        <v>22</v>
      </c>
      <c r="I65" s="3">
        <v>0</v>
      </c>
      <c r="J65" s="3">
        <v>1</v>
      </c>
      <c r="K65" s="3">
        <v>1</v>
      </c>
      <c r="L65" s="3">
        <v>15</v>
      </c>
      <c r="M65" s="3">
        <v>6</v>
      </c>
      <c r="N65" s="3">
        <v>6</v>
      </c>
      <c r="O65" s="7">
        <f t="shared" si="9"/>
        <v>85</v>
      </c>
      <c r="P65" s="8">
        <f t="shared" si="8"/>
        <v>85</v>
      </c>
      <c r="Q65" s="8">
        <f t="shared" si="10"/>
        <v>0</v>
      </c>
      <c r="S65">
        <f t="shared" si="11"/>
        <v>0</v>
      </c>
    </row>
    <row r="66" spans="1:19" x14ac:dyDescent="0.25">
      <c r="A66" s="3">
        <v>65</v>
      </c>
      <c r="B66" s="4">
        <v>1039698</v>
      </c>
      <c r="C66" s="4">
        <v>49</v>
      </c>
      <c r="D66" s="4" t="s">
        <v>17</v>
      </c>
      <c r="E66" s="5">
        <v>45601</v>
      </c>
      <c r="F66" s="6">
        <v>45791</v>
      </c>
      <c r="G66" s="4" t="s">
        <v>9</v>
      </c>
      <c r="H66" s="3" t="s">
        <v>22</v>
      </c>
      <c r="I66" s="3">
        <v>0</v>
      </c>
      <c r="J66" s="3">
        <v>3</v>
      </c>
      <c r="K66" s="3">
        <v>3</v>
      </c>
      <c r="L66" s="3">
        <v>11</v>
      </c>
      <c r="M66" s="3">
        <v>36</v>
      </c>
      <c r="N66" s="3">
        <v>6</v>
      </c>
      <c r="O66" s="7">
        <f t="shared" si="9"/>
        <v>46.092437480817821</v>
      </c>
      <c r="P66" s="8">
        <f t="shared" si="8"/>
        <v>85</v>
      </c>
      <c r="Q66" s="8">
        <f t="shared" si="10"/>
        <v>38.907562519182179</v>
      </c>
      <c r="S66">
        <f t="shared" si="11"/>
        <v>0</v>
      </c>
    </row>
    <row r="67" spans="1:19" x14ac:dyDescent="0.25">
      <c r="A67" s="3">
        <v>66</v>
      </c>
      <c r="B67" s="4">
        <v>1033312</v>
      </c>
      <c r="C67" s="4">
        <v>66</v>
      </c>
      <c r="D67" s="4" t="s">
        <v>19</v>
      </c>
      <c r="E67" s="5">
        <v>45610</v>
      </c>
      <c r="F67" s="6">
        <v>45902</v>
      </c>
      <c r="G67" s="4" t="s">
        <v>9</v>
      </c>
      <c r="H67" s="3" t="s">
        <v>18</v>
      </c>
      <c r="I67" s="3">
        <v>0</v>
      </c>
      <c r="J67" s="3">
        <v>2</v>
      </c>
      <c r="K67" s="3">
        <v>2</v>
      </c>
      <c r="L67" s="3">
        <v>14</v>
      </c>
      <c r="M67" s="3">
        <v>12</v>
      </c>
      <c r="N67" s="3">
        <v>18</v>
      </c>
      <c r="O67" s="7">
        <f t="shared" si="9"/>
        <v>69.948500216800937</v>
      </c>
      <c r="P67" s="8">
        <f t="shared" si="8"/>
        <v>61.143937264016877</v>
      </c>
      <c r="Q67" s="8">
        <f t="shared" si="10"/>
        <v>-8.8045629527840603</v>
      </c>
      <c r="R67" t="s">
        <v>82</v>
      </c>
      <c r="S67">
        <f t="shared" si="11"/>
        <v>1</v>
      </c>
    </row>
    <row r="68" spans="1:19" x14ac:dyDescent="0.25">
      <c r="A68" s="3">
        <v>67</v>
      </c>
      <c r="B68" s="4">
        <v>1040271</v>
      </c>
      <c r="C68" s="4">
        <v>51</v>
      </c>
      <c r="D68" s="4" t="s">
        <v>19</v>
      </c>
      <c r="E68" s="5">
        <v>337812</v>
      </c>
      <c r="F68" s="6">
        <v>45772</v>
      </c>
      <c r="G68" s="4" t="s">
        <v>9</v>
      </c>
      <c r="H68" s="3" t="s">
        <v>18</v>
      </c>
      <c r="I68" s="3">
        <v>0</v>
      </c>
      <c r="J68" s="3">
        <v>2</v>
      </c>
      <c r="K68" s="3">
        <v>2</v>
      </c>
      <c r="L68" s="3">
        <v>11</v>
      </c>
      <c r="M68" s="3">
        <v>15</v>
      </c>
      <c r="N68" s="3">
        <v>6</v>
      </c>
      <c r="O68" s="7">
        <f t="shared" si="9"/>
        <v>65.102999566398125</v>
      </c>
      <c r="P68" s="8">
        <f t="shared" si="8"/>
        <v>85</v>
      </c>
      <c r="Q68" s="8">
        <f t="shared" si="10"/>
        <v>19.897000433601875</v>
      </c>
      <c r="S68">
        <f t="shared" si="11"/>
        <v>0</v>
      </c>
    </row>
    <row r="69" spans="1:19" x14ac:dyDescent="0.25">
      <c r="A69" s="3">
        <v>68</v>
      </c>
      <c r="B69" s="4">
        <v>182260</v>
      </c>
      <c r="C69" s="4">
        <v>65</v>
      </c>
      <c r="D69" s="4" t="s">
        <v>19</v>
      </c>
      <c r="E69" s="6">
        <v>45405</v>
      </c>
      <c r="F69" s="5">
        <v>45619</v>
      </c>
      <c r="G69" s="4" t="s">
        <v>9</v>
      </c>
      <c r="H69" s="3" t="s">
        <v>18</v>
      </c>
      <c r="I69" s="3">
        <v>0</v>
      </c>
      <c r="J69" s="3">
        <v>1</v>
      </c>
      <c r="K69" s="3">
        <v>1</v>
      </c>
      <c r="L69" s="3">
        <v>7</v>
      </c>
      <c r="M69" s="3">
        <v>6</v>
      </c>
      <c r="N69" s="3">
        <v>7.5</v>
      </c>
      <c r="O69" s="7">
        <f t="shared" si="9"/>
        <v>85</v>
      </c>
      <c r="P69" s="8">
        <f t="shared" si="8"/>
        <v>80.154499349597174</v>
      </c>
      <c r="Q69" s="8">
        <f t="shared" si="10"/>
        <v>-4.8455006504028262</v>
      </c>
      <c r="R69" t="s">
        <v>83</v>
      </c>
      <c r="S69">
        <f t="shared" si="11"/>
        <v>1</v>
      </c>
    </row>
    <row r="70" spans="1:19" x14ac:dyDescent="0.25">
      <c r="A70" s="3">
        <v>69</v>
      </c>
      <c r="B70" s="4">
        <v>1039804</v>
      </c>
      <c r="C70" s="4">
        <v>70</v>
      </c>
      <c r="D70" s="4" t="s">
        <v>17</v>
      </c>
      <c r="E70" s="5">
        <v>45605</v>
      </c>
      <c r="F70" s="6">
        <v>45731</v>
      </c>
      <c r="G70" s="4" t="s">
        <v>9</v>
      </c>
      <c r="H70" s="3" t="s">
        <v>22</v>
      </c>
      <c r="I70" s="3">
        <v>0</v>
      </c>
      <c r="J70" s="3">
        <v>1</v>
      </c>
      <c r="K70" s="3">
        <v>1</v>
      </c>
      <c r="L70" s="3">
        <v>7</v>
      </c>
      <c r="M70" s="3">
        <v>24</v>
      </c>
      <c r="N70" s="3">
        <v>24</v>
      </c>
      <c r="O70" s="7">
        <f t="shared" si="9"/>
        <v>54.897000433601882</v>
      </c>
      <c r="P70" s="8">
        <f t="shared" si="8"/>
        <v>54.897000433601882</v>
      </c>
      <c r="Q70" s="8">
        <f t="shared" si="10"/>
        <v>0</v>
      </c>
      <c r="S70">
        <f t="shared" si="11"/>
        <v>0</v>
      </c>
    </row>
    <row r="71" spans="1:19" x14ac:dyDescent="0.25">
      <c r="A71" s="3">
        <v>70</v>
      </c>
      <c r="B71" s="4">
        <v>807914</v>
      </c>
      <c r="C71" s="4">
        <v>73</v>
      </c>
      <c r="D71" s="4" t="s">
        <v>17</v>
      </c>
      <c r="E71" s="5">
        <v>45619</v>
      </c>
      <c r="F71" s="6">
        <v>45713</v>
      </c>
      <c r="G71" s="4" t="s">
        <v>9</v>
      </c>
      <c r="H71" s="3" t="s">
        <v>22</v>
      </c>
      <c r="I71" s="3">
        <v>0</v>
      </c>
      <c r="J71" s="3">
        <v>1</v>
      </c>
      <c r="K71" s="3">
        <v>1</v>
      </c>
      <c r="L71" s="3">
        <v>8</v>
      </c>
      <c r="M71" s="3">
        <v>60</v>
      </c>
      <c r="N71" s="3">
        <v>12</v>
      </c>
      <c r="O71" s="7">
        <f t="shared" si="9"/>
        <v>35</v>
      </c>
      <c r="P71" s="8">
        <f t="shared" si="8"/>
        <v>69.948500216800937</v>
      </c>
      <c r="Q71" s="8">
        <f t="shared" si="10"/>
        <v>34.948500216800937</v>
      </c>
      <c r="S71">
        <f t="shared" si="11"/>
        <v>0</v>
      </c>
    </row>
    <row r="72" spans="1:19" x14ac:dyDescent="0.25">
      <c r="A72" s="3">
        <v>71</v>
      </c>
      <c r="B72" s="4">
        <v>808155</v>
      </c>
      <c r="C72" s="4">
        <v>45</v>
      </c>
      <c r="D72" s="4" t="s">
        <v>17</v>
      </c>
      <c r="E72" s="5">
        <v>45623</v>
      </c>
      <c r="F72" s="6">
        <v>45741</v>
      </c>
      <c r="G72" s="4" t="s">
        <v>9</v>
      </c>
      <c r="H72" s="3" t="s">
        <v>18</v>
      </c>
      <c r="I72" s="3">
        <v>0</v>
      </c>
      <c r="J72" s="3">
        <v>1</v>
      </c>
      <c r="K72" s="3">
        <v>1</v>
      </c>
      <c r="L72" s="3">
        <v>8</v>
      </c>
      <c r="M72" s="3">
        <v>24</v>
      </c>
      <c r="N72" s="3">
        <v>7.5</v>
      </c>
      <c r="O72" s="7">
        <f t="shared" si="9"/>
        <v>54.897000433601882</v>
      </c>
      <c r="P72" s="8">
        <f t="shared" si="8"/>
        <v>80.154499349597174</v>
      </c>
      <c r="Q72" s="8">
        <f t="shared" si="10"/>
        <v>25.257498915995292</v>
      </c>
      <c r="S72">
        <f t="shared" si="11"/>
        <v>0</v>
      </c>
    </row>
    <row r="73" spans="1:19" x14ac:dyDescent="0.25">
      <c r="A73" s="3">
        <v>72</v>
      </c>
      <c r="B73" s="4">
        <v>808155</v>
      </c>
      <c r="C73" s="4">
        <v>50</v>
      </c>
      <c r="D73" s="4" t="s">
        <v>17</v>
      </c>
      <c r="E73" s="5">
        <v>45623</v>
      </c>
      <c r="F73" s="6">
        <v>45741</v>
      </c>
      <c r="G73" s="4" t="s">
        <v>9</v>
      </c>
      <c r="H73" s="3" t="s">
        <v>22</v>
      </c>
      <c r="I73" s="3">
        <v>0</v>
      </c>
      <c r="J73" s="3">
        <v>2</v>
      </c>
      <c r="K73" s="3">
        <v>2</v>
      </c>
      <c r="L73" s="3">
        <v>8</v>
      </c>
      <c r="M73" s="3">
        <v>60</v>
      </c>
      <c r="N73" s="3">
        <v>12</v>
      </c>
      <c r="O73" s="7">
        <f t="shared" si="9"/>
        <v>35</v>
      </c>
      <c r="P73" s="8">
        <f t="shared" si="8"/>
        <v>69.948500216800937</v>
      </c>
      <c r="Q73" s="8">
        <f t="shared" si="10"/>
        <v>34.948500216800937</v>
      </c>
      <c r="S73">
        <f t="shared" si="11"/>
        <v>0</v>
      </c>
    </row>
    <row r="74" spans="1:19" x14ac:dyDescent="0.25">
      <c r="A74" s="3">
        <v>73</v>
      </c>
      <c r="B74" s="4">
        <v>497921</v>
      </c>
      <c r="C74" s="4">
        <v>47</v>
      </c>
      <c r="D74" s="4" t="s">
        <v>17</v>
      </c>
      <c r="E74" s="5">
        <v>45434</v>
      </c>
      <c r="F74" s="6">
        <v>45646</v>
      </c>
      <c r="G74" s="4" t="s">
        <v>9</v>
      </c>
      <c r="H74" s="3" t="s">
        <v>18</v>
      </c>
      <c r="I74" s="3">
        <v>0</v>
      </c>
      <c r="J74" s="3">
        <v>1</v>
      </c>
      <c r="K74" s="3">
        <v>1</v>
      </c>
      <c r="L74" s="3">
        <v>8</v>
      </c>
      <c r="M74" s="3">
        <v>12</v>
      </c>
      <c r="N74" s="3">
        <v>12</v>
      </c>
      <c r="O74" s="7">
        <f t="shared" si="9"/>
        <v>69.948500216800937</v>
      </c>
      <c r="P74" s="8">
        <f t="shared" si="8"/>
        <v>69.948500216800937</v>
      </c>
      <c r="Q74" s="8">
        <f t="shared" si="10"/>
        <v>0</v>
      </c>
      <c r="S74">
        <f t="shared" si="11"/>
        <v>0</v>
      </c>
    </row>
    <row r="75" spans="1:19" x14ac:dyDescent="0.25">
      <c r="A75" s="3">
        <v>74</v>
      </c>
      <c r="B75" s="4">
        <v>1038274</v>
      </c>
      <c r="C75" s="4">
        <v>55</v>
      </c>
      <c r="D75" s="4" t="s">
        <v>19</v>
      </c>
      <c r="E75" s="5">
        <v>45626</v>
      </c>
      <c r="F75" s="6">
        <v>45764</v>
      </c>
      <c r="G75" s="4" t="s">
        <v>9</v>
      </c>
      <c r="H75" s="3" t="s">
        <v>18</v>
      </c>
      <c r="I75" s="3">
        <v>0</v>
      </c>
      <c r="J75" s="3">
        <v>2</v>
      </c>
      <c r="K75" s="3">
        <v>2</v>
      </c>
      <c r="L75" s="3">
        <v>7</v>
      </c>
      <c r="M75" s="3">
        <v>24</v>
      </c>
      <c r="N75" s="3">
        <v>7.5</v>
      </c>
      <c r="O75" s="7">
        <f t="shared" si="9"/>
        <v>54.897000433601882</v>
      </c>
      <c r="P75" s="8">
        <f t="shared" si="8"/>
        <v>80.154499349597174</v>
      </c>
      <c r="Q75" s="8">
        <f t="shared" si="10"/>
        <v>25.257498915995292</v>
      </c>
      <c r="S75">
        <f t="shared" si="11"/>
        <v>0</v>
      </c>
    </row>
    <row r="76" spans="1:19" x14ac:dyDescent="0.25">
      <c r="A76" s="3">
        <v>75</v>
      </c>
      <c r="B76" s="4">
        <v>266521</v>
      </c>
      <c r="C76" s="4">
        <v>58</v>
      </c>
      <c r="D76" s="4" t="s">
        <v>19</v>
      </c>
      <c r="E76" s="5">
        <v>45632</v>
      </c>
      <c r="F76" s="6">
        <v>45680</v>
      </c>
      <c r="G76" s="4" t="s">
        <v>9</v>
      </c>
      <c r="H76" s="3" t="s">
        <v>18</v>
      </c>
      <c r="I76" s="3">
        <v>0</v>
      </c>
      <c r="J76" s="3">
        <v>2</v>
      </c>
      <c r="K76" s="3">
        <v>2</v>
      </c>
      <c r="L76" s="3">
        <v>7</v>
      </c>
      <c r="M76" s="3">
        <v>18</v>
      </c>
      <c r="N76" s="3">
        <v>9</v>
      </c>
      <c r="O76" s="7">
        <f t="shared" si="9"/>
        <v>61.143937264016877</v>
      </c>
      <c r="P76" s="8">
        <f t="shared" si="8"/>
        <v>76.195437047215933</v>
      </c>
      <c r="Q76" s="8">
        <f t="shared" si="10"/>
        <v>15.051499783199056</v>
      </c>
      <c r="S76">
        <f t="shared" si="11"/>
        <v>0</v>
      </c>
    </row>
    <row r="77" spans="1:19" x14ac:dyDescent="0.25">
      <c r="A77" s="3">
        <v>76</v>
      </c>
      <c r="B77" s="4">
        <v>1041099</v>
      </c>
      <c r="C77" s="4">
        <v>35</v>
      </c>
      <c r="D77" s="4" t="s">
        <v>19</v>
      </c>
      <c r="E77" s="5">
        <v>45642</v>
      </c>
      <c r="F77" s="6">
        <v>45680</v>
      </c>
      <c r="G77" s="4" t="s">
        <v>9</v>
      </c>
      <c r="H77" s="3" t="s">
        <v>18</v>
      </c>
      <c r="I77" s="3">
        <v>0</v>
      </c>
      <c r="J77" s="3">
        <v>1</v>
      </c>
      <c r="K77" s="3">
        <v>1</v>
      </c>
      <c r="L77" s="3">
        <v>5</v>
      </c>
      <c r="M77" s="3">
        <v>9</v>
      </c>
      <c r="N77" s="3">
        <v>6</v>
      </c>
      <c r="O77" s="7">
        <f t="shared" si="9"/>
        <v>76.195437047215933</v>
      </c>
      <c r="P77" s="8">
        <f t="shared" si="8"/>
        <v>85</v>
      </c>
      <c r="Q77" s="8">
        <f t="shared" si="10"/>
        <v>8.8045629527840674</v>
      </c>
      <c r="S77">
        <f t="shared" si="11"/>
        <v>0</v>
      </c>
    </row>
    <row r="78" spans="1:19" x14ac:dyDescent="0.25">
      <c r="A78" s="3">
        <v>77</v>
      </c>
      <c r="B78" s="4" t="s">
        <v>41</v>
      </c>
      <c r="C78" s="4">
        <v>43</v>
      </c>
      <c r="D78" s="4" t="s">
        <v>19</v>
      </c>
      <c r="E78" s="5">
        <v>45642</v>
      </c>
      <c r="F78" s="6">
        <v>45889</v>
      </c>
      <c r="G78" s="4" t="s">
        <v>9</v>
      </c>
      <c r="H78" s="3" t="s">
        <v>18</v>
      </c>
      <c r="I78" s="3">
        <v>0</v>
      </c>
      <c r="J78" s="3">
        <v>4</v>
      </c>
      <c r="K78" s="3">
        <v>4</v>
      </c>
      <c r="L78" s="3">
        <v>17</v>
      </c>
      <c r="M78" s="3">
        <v>12</v>
      </c>
      <c r="N78" s="3">
        <v>7.5</v>
      </c>
      <c r="O78" s="7">
        <f t="shared" si="9"/>
        <v>69.948500216800937</v>
      </c>
      <c r="P78" s="8">
        <f t="shared" si="8"/>
        <v>80.154499349597174</v>
      </c>
      <c r="Q78" s="8">
        <f t="shared" si="10"/>
        <v>10.205999132796236</v>
      </c>
      <c r="S78">
        <f t="shared" si="11"/>
        <v>0</v>
      </c>
    </row>
    <row r="79" spans="1:19" x14ac:dyDescent="0.25">
      <c r="A79" s="3">
        <v>78</v>
      </c>
      <c r="B79" s="4" t="s">
        <v>42</v>
      </c>
      <c r="C79" s="4">
        <v>74</v>
      </c>
      <c r="D79" s="4" t="s">
        <v>19</v>
      </c>
      <c r="E79" s="5">
        <v>45644</v>
      </c>
      <c r="F79" s="6">
        <v>45649</v>
      </c>
      <c r="G79" s="4" t="s">
        <v>9</v>
      </c>
      <c r="H79" s="3" t="s">
        <v>22</v>
      </c>
      <c r="I79" s="3">
        <v>0</v>
      </c>
      <c r="J79" s="3">
        <v>1</v>
      </c>
      <c r="K79" s="3">
        <v>1</v>
      </c>
      <c r="L79" s="3">
        <v>3</v>
      </c>
      <c r="M79" s="3">
        <v>12</v>
      </c>
      <c r="N79" s="3">
        <v>9</v>
      </c>
      <c r="O79" s="7">
        <f t="shared" si="9"/>
        <v>69.948500216800937</v>
      </c>
      <c r="P79" s="8">
        <f t="shared" si="8"/>
        <v>76.195437047215933</v>
      </c>
      <c r="Q79" s="8">
        <f t="shared" si="10"/>
        <v>6.2469368304149953</v>
      </c>
      <c r="S79">
        <f t="shared" si="11"/>
        <v>0</v>
      </c>
    </row>
    <row r="80" spans="1:19" x14ac:dyDescent="0.25">
      <c r="A80" s="3">
        <v>79</v>
      </c>
      <c r="B80" s="4">
        <v>1033882</v>
      </c>
      <c r="C80" s="4">
        <v>58</v>
      </c>
      <c r="D80" s="4" t="s">
        <v>17</v>
      </c>
      <c r="E80" s="5">
        <v>45642</v>
      </c>
      <c r="F80" s="6">
        <v>45708</v>
      </c>
      <c r="G80" s="4" t="s">
        <v>9</v>
      </c>
      <c r="H80" s="3" t="s">
        <v>18</v>
      </c>
      <c r="I80" s="3">
        <v>0</v>
      </c>
      <c r="J80" s="3">
        <v>1</v>
      </c>
      <c r="K80" s="3">
        <v>1</v>
      </c>
      <c r="L80" s="3">
        <v>7</v>
      </c>
      <c r="M80" s="3">
        <v>300</v>
      </c>
      <c r="N80" s="3">
        <v>24</v>
      </c>
      <c r="O80" s="7">
        <f t="shared" si="9"/>
        <v>5.1499783199062676E-2</v>
      </c>
      <c r="P80" s="8">
        <f t="shared" si="8"/>
        <v>54.897000433601882</v>
      </c>
      <c r="Q80" s="8">
        <f t="shared" si="10"/>
        <v>54.845500650402819</v>
      </c>
      <c r="S80">
        <f t="shared" si="11"/>
        <v>0</v>
      </c>
    </row>
    <row r="81" spans="1:19" x14ac:dyDescent="0.25">
      <c r="A81" s="3">
        <v>80</v>
      </c>
      <c r="B81" s="4">
        <v>198869</v>
      </c>
      <c r="C81" s="4">
        <v>59</v>
      </c>
      <c r="D81" s="4" t="s">
        <v>19</v>
      </c>
      <c r="E81" s="5">
        <v>45644</v>
      </c>
      <c r="F81" s="6">
        <v>45682</v>
      </c>
      <c r="G81" s="4" t="s">
        <v>9</v>
      </c>
      <c r="H81" s="3" t="s">
        <v>18</v>
      </c>
      <c r="I81" s="3">
        <v>0</v>
      </c>
      <c r="J81" s="3">
        <v>2</v>
      </c>
      <c r="K81" s="3">
        <v>2</v>
      </c>
      <c r="L81" s="3">
        <v>6</v>
      </c>
      <c r="M81" s="3">
        <v>300</v>
      </c>
      <c r="N81" s="3">
        <v>18</v>
      </c>
      <c r="O81" s="7">
        <f t="shared" si="9"/>
        <v>5.1499783199062676E-2</v>
      </c>
      <c r="P81" s="8">
        <f t="shared" si="8"/>
        <v>61.143937264016877</v>
      </c>
      <c r="Q81" s="8">
        <f t="shared" si="10"/>
        <v>61.092437480817814</v>
      </c>
      <c r="S81">
        <f t="shared" si="11"/>
        <v>0</v>
      </c>
    </row>
    <row r="82" spans="1:19" x14ac:dyDescent="0.25">
      <c r="A82" s="3">
        <v>81</v>
      </c>
      <c r="B82" s="4" t="s">
        <v>43</v>
      </c>
      <c r="C82" s="4">
        <v>54</v>
      </c>
      <c r="D82" s="4" t="s">
        <v>19</v>
      </c>
      <c r="E82" s="5">
        <v>45580</v>
      </c>
      <c r="F82" s="6">
        <v>45995</v>
      </c>
      <c r="G82" s="4" t="s">
        <v>9</v>
      </c>
      <c r="H82" s="3" t="s">
        <v>22</v>
      </c>
      <c r="I82" s="3">
        <v>0</v>
      </c>
      <c r="J82" s="3">
        <v>5</v>
      </c>
      <c r="K82" s="3">
        <v>5</v>
      </c>
      <c r="L82" s="3">
        <v>16</v>
      </c>
      <c r="M82" s="3">
        <v>9</v>
      </c>
      <c r="N82" s="3">
        <v>18</v>
      </c>
      <c r="O82" s="7">
        <f t="shared" si="9"/>
        <v>76.195437047215933</v>
      </c>
      <c r="P82" s="8">
        <f t="shared" si="8"/>
        <v>61.143937264016877</v>
      </c>
      <c r="Q82" s="8">
        <f t="shared" si="10"/>
        <v>-15.051499783199056</v>
      </c>
      <c r="R82" t="s">
        <v>84</v>
      </c>
      <c r="S82">
        <f t="shared" si="11"/>
        <v>1</v>
      </c>
    </row>
    <row r="83" spans="1:19" x14ac:dyDescent="0.25">
      <c r="A83" s="3">
        <v>82</v>
      </c>
      <c r="B83" s="4" t="s">
        <v>44</v>
      </c>
      <c r="C83" s="4">
        <v>63</v>
      </c>
      <c r="D83" s="4" t="s">
        <v>19</v>
      </c>
      <c r="E83" s="5">
        <v>45632</v>
      </c>
      <c r="F83" s="6">
        <v>45843</v>
      </c>
      <c r="G83" s="3" t="s">
        <v>9</v>
      </c>
      <c r="H83" s="3" t="s">
        <v>18</v>
      </c>
      <c r="I83" s="3">
        <v>0</v>
      </c>
      <c r="J83" s="3">
        <v>3</v>
      </c>
      <c r="K83" s="3">
        <v>3</v>
      </c>
      <c r="L83" s="3">
        <v>53</v>
      </c>
      <c r="M83" s="3">
        <v>18</v>
      </c>
      <c r="N83" s="3">
        <v>12</v>
      </c>
      <c r="O83" s="7">
        <f t="shared" si="9"/>
        <v>61.143937264016877</v>
      </c>
      <c r="P83" s="8">
        <f t="shared" si="8"/>
        <v>69.948500216800937</v>
      </c>
      <c r="Q83" s="8">
        <f t="shared" si="10"/>
        <v>8.8045629527840603</v>
      </c>
      <c r="S83">
        <f t="shared" si="11"/>
        <v>0</v>
      </c>
    </row>
    <row r="84" spans="1:19" x14ac:dyDescent="0.25">
      <c r="A84" s="3">
        <v>83</v>
      </c>
      <c r="B84" s="4" t="s">
        <v>44</v>
      </c>
      <c r="C84" s="4">
        <v>63</v>
      </c>
      <c r="D84" s="4" t="s">
        <v>19</v>
      </c>
      <c r="E84" s="5">
        <v>45632</v>
      </c>
      <c r="F84" s="6">
        <v>45843</v>
      </c>
      <c r="G84" s="3" t="s">
        <v>9</v>
      </c>
      <c r="H84" s="3" t="s">
        <v>22</v>
      </c>
      <c r="I84" s="3">
        <v>0</v>
      </c>
      <c r="J84" s="3">
        <v>4</v>
      </c>
      <c r="K84" s="3">
        <v>4</v>
      </c>
      <c r="L84" s="3">
        <v>53</v>
      </c>
      <c r="M84" s="3" t="s">
        <v>39</v>
      </c>
      <c r="N84" s="3">
        <v>24</v>
      </c>
      <c r="O84" s="7">
        <v>0</v>
      </c>
      <c r="P84" s="8">
        <f t="shared" si="8"/>
        <v>54.897000433601882</v>
      </c>
      <c r="Q84" s="8">
        <f t="shared" si="10"/>
        <v>54.897000433601882</v>
      </c>
      <c r="S84">
        <f t="shared" si="11"/>
        <v>0</v>
      </c>
    </row>
    <row r="85" spans="1:19" x14ac:dyDescent="0.25">
      <c r="A85" s="3">
        <v>84</v>
      </c>
      <c r="B85" s="25">
        <v>1009893</v>
      </c>
      <c r="C85" s="4">
        <v>60</v>
      </c>
      <c r="D85" s="4" t="s">
        <v>19</v>
      </c>
      <c r="E85" s="5">
        <v>45576</v>
      </c>
      <c r="F85" s="6">
        <v>45887</v>
      </c>
      <c r="G85" s="3" t="s">
        <v>9</v>
      </c>
      <c r="H85" s="3" t="s">
        <v>22</v>
      </c>
      <c r="I85" s="3">
        <v>0</v>
      </c>
      <c r="J85" s="3">
        <v>2</v>
      </c>
      <c r="K85" s="3">
        <v>3</v>
      </c>
      <c r="L85" s="3">
        <v>26</v>
      </c>
      <c r="M85" s="3">
        <v>180</v>
      </c>
      <c r="N85" s="3" t="s">
        <v>29</v>
      </c>
      <c r="O85" s="7">
        <f t="shared" ref="O85:O120" si="12">85+50*LOG10(6/M85)</f>
        <v>11.143937264016884</v>
      </c>
      <c r="P85" s="8">
        <v>0</v>
      </c>
      <c r="Q85" s="8">
        <f t="shared" si="10"/>
        <v>-11.143937264016884</v>
      </c>
      <c r="S85">
        <f t="shared" si="11"/>
        <v>1</v>
      </c>
    </row>
    <row r="86" spans="1:19" x14ac:dyDescent="0.25">
      <c r="A86" s="3">
        <v>85</v>
      </c>
      <c r="B86" s="4">
        <v>903801</v>
      </c>
      <c r="C86" s="4">
        <v>40</v>
      </c>
      <c r="D86" s="4" t="s">
        <v>46</v>
      </c>
      <c r="E86" s="5">
        <v>45666</v>
      </c>
      <c r="F86" s="6">
        <v>45850</v>
      </c>
      <c r="G86" s="4" t="s">
        <v>9</v>
      </c>
      <c r="H86" s="3" t="s">
        <v>18</v>
      </c>
      <c r="I86" s="3">
        <v>0</v>
      </c>
      <c r="J86" s="3">
        <v>1</v>
      </c>
      <c r="K86" s="3">
        <v>1</v>
      </c>
      <c r="L86" s="3">
        <v>18</v>
      </c>
      <c r="M86" s="3">
        <v>18</v>
      </c>
      <c r="N86" s="3">
        <v>12</v>
      </c>
      <c r="O86" s="7">
        <f t="shared" si="12"/>
        <v>61.143937264016877</v>
      </c>
      <c r="P86" s="8">
        <f t="shared" ref="P86:P126" si="13">85+50*LOG10(6/N86)</f>
        <v>69.948500216800937</v>
      </c>
      <c r="Q86" s="8">
        <f t="shared" si="10"/>
        <v>8.8045629527840603</v>
      </c>
      <c r="S86">
        <f t="shared" si="11"/>
        <v>0</v>
      </c>
    </row>
    <row r="87" spans="1:19" x14ac:dyDescent="0.25">
      <c r="A87" s="3">
        <v>86</v>
      </c>
      <c r="B87" s="4">
        <v>903801</v>
      </c>
      <c r="C87" s="4">
        <v>40</v>
      </c>
      <c r="D87" s="4" t="s">
        <v>46</v>
      </c>
      <c r="E87" s="5">
        <v>45666</v>
      </c>
      <c r="F87" s="6">
        <v>45850</v>
      </c>
      <c r="G87" s="4" t="s">
        <v>9</v>
      </c>
      <c r="H87" s="3" t="s">
        <v>22</v>
      </c>
      <c r="I87" s="3">
        <v>0</v>
      </c>
      <c r="J87" s="3">
        <v>1</v>
      </c>
      <c r="K87" s="3">
        <v>1</v>
      </c>
      <c r="L87" s="3">
        <v>18</v>
      </c>
      <c r="M87" s="3">
        <v>6</v>
      </c>
      <c r="N87" s="3">
        <v>6</v>
      </c>
      <c r="O87" s="7">
        <f t="shared" si="12"/>
        <v>85</v>
      </c>
      <c r="P87" s="8">
        <f t="shared" si="13"/>
        <v>85</v>
      </c>
      <c r="Q87" s="8">
        <f t="shared" si="10"/>
        <v>0</v>
      </c>
      <c r="S87">
        <f t="shared" si="11"/>
        <v>0</v>
      </c>
    </row>
    <row r="88" spans="1:19" x14ac:dyDescent="0.25">
      <c r="A88" s="3">
        <v>87</v>
      </c>
      <c r="B88" s="4">
        <v>266521</v>
      </c>
      <c r="C88" s="4">
        <v>59</v>
      </c>
      <c r="D88" s="4" t="s">
        <v>46</v>
      </c>
      <c r="E88" s="5">
        <v>45677</v>
      </c>
      <c r="F88" s="6">
        <v>45680</v>
      </c>
      <c r="G88" s="4" t="s">
        <v>9</v>
      </c>
      <c r="H88" s="3" t="s">
        <v>22</v>
      </c>
      <c r="I88" s="3">
        <v>0</v>
      </c>
      <c r="J88" s="3">
        <v>1</v>
      </c>
      <c r="K88" s="3">
        <v>1</v>
      </c>
      <c r="L88" s="3">
        <v>7</v>
      </c>
      <c r="M88" s="3">
        <v>12</v>
      </c>
      <c r="N88" s="3">
        <v>9</v>
      </c>
      <c r="O88" s="7">
        <f t="shared" si="12"/>
        <v>69.948500216800937</v>
      </c>
      <c r="P88" s="8">
        <f t="shared" si="13"/>
        <v>76.195437047215933</v>
      </c>
      <c r="Q88" s="8">
        <f t="shared" si="10"/>
        <v>6.2469368304149953</v>
      </c>
      <c r="S88">
        <f t="shared" si="11"/>
        <v>0</v>
      </c>
    </row>
    <row r="89" spans="1:19" x14ac:dyDescent="0.25">
      <c r="A89" s="3">
        <v>88</v>
      </c>
      <c r="B89" s="4">
        <v>1039646</v>
      </c>
      <c r="C89" s="4">
        <v>48</v>
      </c>
      <c r="D89" s="4" t="s">
        <v>46</v>
      </c>
      <c r="E89" s="5">
        <v>45678</v>
      </c>
      <c r="F89" s="6">
        <v>45937</v>
      </c>
      <c r="G89" s="4" t="s">
        <v>9</v>
      </c>
      <c r="H89" s="3" t="s">
        <v>22</v>
      </c>
      <c r="I89" s="3">
        <v>0</v>
      </c>
      <c r="J89" s="3">
        <v>4</v>
      </c>
      <c r="K89" s="3">
        <v>4</v>
      </c>
      <c r="L89" s="3">
        <v>15</v>
      </c>
      <c r="M89" s="3">
        <v>7.5</v>
      </c>
      <c r="N89" s="3">
        <v>6</v>
      </c>
      <c r="O89" s="7">
        <f t="shared" si="12"/>
        <v>80.154499349597174</v>
      </c>
      <c r="P89" s="8">
        <f t="shared" si="13"/>
        <v>85</v>
      </c>
      <c r="Q89" s="8">
        <f t="shared" si="10"/>
        <v>4.8455006504028262</v>
      </c>
      <c r="S89">
        <f t="shared" si="11"/>
        <v>0</v>
      </c>
    </row>
    <row r="90" spans="1:19" x14ac:dyDescent="0.25">
      <c r="A90" s="3">
        <v>89</v>
      </c>
      <c r="B90" s="4">
        <v>1042070</v>
      </c>
      <c r="C90" s="4">
        <v>57</v>
      </c>
      <c r="D90" s="4" t="s">
        <v>47</v>
      </c>
      <c r="E90" s="5">
        <v>45658</v>
      </c>
      <c r="F90" s="6">
        <v>45832</v>
      </c>
      <c r="G90" s="4" t="s">
        <v>9</v>
      </c>
      <c r="H90" s="3" t="s">
        <v>18</v>
      </c>
      <c r="I90" s="3">
        <v>0</v>
      </c>
      <c r="J90" s="3">
        <v>2</v>
      </c>
      <c r="K90" s="3">
        <v>2</v>
      </c>
      <c r="L90" s="3">
        <v>15</v>
      </c>
      <c r="M90" s="3">
        <v>36</v>
      </c>
      <c r="N90" s="3">
        <v>36</v>
      </c>
      <c r="O90" s="7">
        <f t="shared" si="12"/>
        <v>46.092437480817821</v>
      </c>
      <c r="P90" s="8">
        <f t="shared" si="13"/>
        <v>46.092437480817821</v>
      </c>
      <c r="Q90" s="8">
        <f t="shared" si="10"/>
        <v>0</v>
      </c>
      <c r="S90">
        <f t="shared" si="11"/>
        <v>0</v>
      </c>
    </row>
    <row r="91" spans="1:19" x14ac:dyDescent="0.25">
      <c r="A91" s="3">
        <v>90</v>
      </c>
      <c r="B91" s="4">
        <v>1042070</v>
      </c>
      <c r="C91" s="4">
        <v>57</v>
      </c>
      <c r="D91" s="4" t="s">
        <v>47</v>
      </c>
      <c r="E91" s="5">
        <v>45658</v>
      </c>
      <c r="F91" s="6">
        <v>45832</v>
      </c>
      <c r="G91" s="4" t="s">
        <v>9</v>
      </c>
      <c r="H91" s="3" t="s">
        <v>22</v>
      </c>
      <c r="I91" s="3">
        <v>0</v>
      </c>
      <c r="J91" s="3">
        <v>2</v>
      </c>
      <c r="K91" s="3">
        <v>2</v>
      </c>
      <c r="L91" s="3">
        <v>15</v>
      </c>
      <c r="M91" s="3">
        <v>60</v>
      </c>
      <c r="N91" s="3">
        <v>24</v>
      </c>
      <c r="O91" s="7">
        <f t="shared" si="12"/>
        <v>35</v>
      </c>
      <c r="P91" s="8">
        <f t="shared" si="13"/>
        <v>54.897000433601882</v>
      </c>
      <c r="Q91" s="8">
        <f t="shared" si="10"/>
        <v>19.897000433601882</v>
      </c>
      <c r="S91">
        <f t="shared" si="11"/>
        <v>0</v>
      </c>
    </row>
    <row r="92" spans="1:19" x14ac:dyDescent="0.25">
      <c r="A92" s="3">
        <v>91</v>
      </c>
      <c r="B92" s="4">
        <v>399650</v>
      </c>
      <c r="C92" s="4">
        <v>45</v>
      </c>
      <c r="D92" s="4" t="s">
        <v>47</v>
      </c>
      <c r="E92" s="5">
        <v>45666</v>
      </c>
      <c r="F92" s="6">
        <v>45987</v>
      </c>
      <c r="G92" s="4" t="s">
        <v>9</v>
      </c>
      <c r="H92" s="3" t="s">
        <v>18</v>
      </c>
      <c r="I92" s="3">
        <v>0</v>
      </c>
      <c r="J92" s="3">
        <v>1</v>
      </c>
      <c r="K92" s="3">
        <v>1</v>
      </c>
      <c r="L92" s="3">
        <v>22</v>
      </c>
      <c r="M92" s="3">
        <v>9</v>
      </c>
      <c r="N92" s="3">
        <v>6</v>
      </c>
      <c r="O92" s="7">
        <f t="shared" si="12"/>
        <v>76.195437047215933</v>
      </c>
      <c r="P92" s="8">
        <f t="shared" si="13"/>
        <v>85</v>
      </c>
      <c r="Q92" s="8">
        <f t="shared" si="10"/>
        <v>8.8045629527840674</v>
      </c>
      <c r="S92">
        <f t="shared" si="11"/>
        <v>0</v>
      </c>
    </row>
    <row r="93" spans="1:19" x14ac:dyDescent="0.25">
      <c r="A93" s="3">
        <v>92</v>
      </c>
      <c r="B93" s="4">
        <v>1002394</v>
      </c>
      <c r="C93" s="4">
        <v>77</v>
      </c>
      <c r="D93" s="4" t="s">
        <v>47</v>
      </c>
      <c r="E93" s="5">
        <v>45694</v>
      </c>
      <c r="F93" s="6">
        <v>45748</v>
      </c>
      <c r="G93" s="4" t="s">
        <v>9</v>
      </c>
      <c r="H93" s="3" t="s">
        <v>22</v>
      </c>
      <c r="I93" s="3">
        <v>0</v>
      </c>
      <c r="J93" s="3">
        <v>1</v>
      </c>
      <c r="K93" s="3">
        <v>1</v>
      </c>
      <c r="L93" s="3">
        <v>6</v>
      </c>
      <c r="M93" s="3">
        <v>12</v>
      </c>
      <c r="N93" s="3">
        <v>6</v>
      </c>
      <c r="O93" s="7">
        <f t="shared" si="12"/>
        <v>69.948500216800937</v>
      </c>
      <c r="P93" s="8">
        <f t="shared" si="13"/>
        <v>85</v>
      </c>
      <c r="Q93" s="8">
        <f t="shared" si="10"/>
        <v>15.051499783199063</v>
      </c>
      <c r="S93">
        <f t="shared" si="11"/>
        <v>0</v>
      </c>
    </row>
    <row r="94" spans="1:19" x14ac:dyDescent="0.25">
      <c r="A94" s="3">
        <v>93</v>
      </c>
      <c r="B94" s="4">
        <v>1026399</v>
      </c>
      <c r="C94" s="4">
        <v>71</v>
      </c>
      <c r="D94" s="4" t="s">
        <v>46</v>
      </c>
      <c r="E94" s="5">
        <v>45698</v>
      </c>
      <c r="F94" s="6">
        <v>45700</v>
      </c>
      <c r="G94" s="4" t="s">
        <v>9</v>
      </c>
      <c r="H94" s="3" t="s">
        <v>18</v>
      </c>
      <c r="I94" s="3">
        <v>0</v>
      </c>
      <c r="J94" s="3">
        <v>1</v>
      </c>
      <c r="K94" s="3">
        <v>1</v>
      </c>
      <c r="L94" s="3">
        <v>4</v>
      </c>
      <c r="M94" s="3">
        <v>12</v>
      </c>
      <c r="N94" s="3">
        <v>9</v>
      </c>
      <c r="O94" s="7">
        <f t="shared" si="12"/>
        <v>69.948500216800937</v>
      </c>
      <c r="P94" s="8">
        <f t="shared" si="13"/>
        <v>76.195437047215933</v>
      </c>
      <c r="Q94" s="8">
        <f t="shared" si="10"/>
        <v>6.2469368304149953</v>
      </c>
      <c r="S94">
        <f t="shared" si="11"/>
        <v>0</v>
      </c>
    </row>
    <row r="95" spans="1:19" x14ac:dyDescent="0.25">
      <c r="A95" s="3">
        <v>94</v>
      </c>
      <c r="B95" s="4">
        <v>1033123</v>
      </c>
      <c r="C95" s="4">
        <v>48</v>
      </c>
      <c r="D95" s="4" t="s">
        <v>46</v>
      </c>
      <c r="E95" s="5">
        <v>45417</v>
      </c>
      <c r="F95" s="6">
        <v>45740</v>
      </c>
      <c r="G95" s="4" t="s">
        <v>9</v>
      </c>
      <c r="H95" s="3" t="s">
        <v>22</v>
      </c>
      <c r="I95" s="3">
        <v>0</v>
      </c>
      <c r="J95" s="3">
        <v>1</v>
      </c>
      <c r="K95" s="3">
        <v>1</v>
      </c>
      <c r="L95" s="3">
        <v>8</v>
      </c>
      <c r="M95" s="3">
        <v>6</v>
      </c>
      <c r="N95" s="3">
        <v>6</v>
      </c>
      <c r="O95" s="7">
        <f t="shared" si="12"/>
        <v>85</v>
      </c>
      <c r="P95" s="8">
        <f t="shared" si="13"/>
        <v>85</v>
      </c>
      <c r="Q95" s="8">
        <f t="shared" ref="Q95:Q126" si="14">P95-O95</f>
        <v>0</v>
      </c>
      <c r="R95" s="38"/>
      <c r="S95" s="38">
        <f t="shared" si="11"/>
        <v>0</v>
      </c>
    </row>
    <row r="96" spans="1:19" s="24" customFormat="1" x14ac:dyDescent="0.25">
      <c r="A96" s="3">
        <v>95</v>
      </c>
      <c r="B96" s="9">
        <v>155030</v>
      </c>
      <c r="C96" s="9">
        <v>64</v>
      </c>
      <c r="D96" s="9" t="s">
        <v>46</v>
      </c>
      <c r="E96" s="10">
        <v>45707</v>
      </c>
      <c r="F96" s="11">
        <v>45979</v>
      </c>
      <c r="G96" s="9" t="s">
        <v>9</v>
      </c>
      <c r="H96" s="12" t="s">
        <v>22</v>
      </c>
      <c r="I96" s="12">
        <v>0</v>
      </c>
      <c r="J96" s="12">
        <v>3</v>
      </c>
      <c r="K96" s="12">
        <v>3</v>
      </c>
      <c r="L96" s="12">
        <v>15</v>
      </c>
      <c r="M96" s="12">
        <v>12</v>
      </c>
      <c r="N96" s="12">
        <v>60</v>
      </c>
      <c r="O96" s="22">
        <f t="shared" si="12"/>
        <v>69.948500216800937</v>
      </c>
      <c r="P96" s="23">
        <f t="shared" si="13"/>
        <v>35</v>
      </c>
      <c r="Q96" s="23">
        <f t="shared" si="14"/>
        <v>-34.948500216800937</v>
      </c>
      <c r="R96" s="39" t="s">
        <v>85</v>
      </c>
      <c r="S96" s="38">
        <f t="shared" si="11"/>
        <v>1</v>
      </c>
    </row>
    <row r="97" spans="1:19" x14ac:dyDescent="0.25">
      <c r="A97" s="3">
        <v>96</v>
      </c>
      <c r="B97" s="4">
        <v>1034393</v>
      </c>
      <c r="C97" s="4">
        <v>67</v>
      </c>
      <c r="D97" s="4" t="s">
        <v>47</v>
      </c>
      <c r="E97" s="5">
        <v>45453</v>
      </c>
      <c r="F97" s="6">
        <v>45852</v>
      </c>
      <c r="G97" s="4" t="s">
        <v>9</v>
      </c>
      <c r="H97" s="3" t="s">
        <v>18</v>
      </c>
      <c r="I97" s="3">
        <v>0</v>
      </c>
      <c r="J97" s="3">
        <v>1</v>
      </c>
      <c r="K97" s="3">
        <v>1</v>
      </c>
      <c r="L97" s="3">
        <v>7</v>
      </c>
      <c r="M97" s="3">
        <v>9</v>
      </c>
      <c r="N97" s="3">
        <v>9</v>
      </c>
      <c r="O97" s="7">
        <f t="shared" si="12"/>
        <v>76.195437047215933</v>
      </c>
      <c r="P97" s="8">
        <f t="shared" si="13"/>
        <v>76.195437047215933</v>
      </c>
      <c r="Q97" s="8">
        <f t="shared" si="14"/>
        <v>0</v>
      </c>
      <c r="R97" s="38"/>
      <c r="S97" s="38">
        <f t="shared" si="11"/>
        <v>0</v>
      </c>
    </row>
    <row r="98" spans="1:19" x14ac:dyDescent="0.25">
      <c r="A98" s="3">
        <v>97</v>
      </c>
      <c r="B98" s="4">
        <v>1034393</v>
      </c>
      <c r="C98" s="4">
        <v>67</v>
      </c>
      <c r="D98" s="4" t="s">
        <v>47</v>
      </c>
      <c r="E98" s="5">
        <v>45453</v>
      </c>
      <c r="F98" s="6">
        <v>45852</v>
      </c>
      <c r="G98" s="4" t="s">
        <v>9</v>
      </c>
      <c r="H98" s="3" t="s">
        <v>22</v>
      </c>
      <c r="I98" s="3">
        <v>0</v>
      </c>
      <c r="J98" s="3">
        <v>1</v>
      </c>
      <c r="K98" s="3">
        <v>1</v>
      </c>
      <c r="L98" s="3">
        <v>7</v>
      </c>
      <c r="M98" s="12">
        <v>7.5</v>
      </c>
      <c r="N98" s="3">
        <v>18</v>
      </c>
      <c r="O98" s="7">
        <f t="shared" si="12"/>
        <v>80.154499349597174</v>
      </c>
      <c r="P98" s="8">
        <f t="shared" si="13"/>
        <v>61.143937264016877</v>
      </c>
      <c r="Q98" s="8">
        <f t="shared" si="14"/>
        <v>-19.010562085580297</v>
      </c>
      <c r="R98" t="s">
        <v>86</v>
      </c>
      <c r="S98">
        <f t="shared" si="11"/>
        <v>1</v>
      </c>
    </row>
    <row r="99" spans="1:19" x14ac:dyDescent="0.25">
      <c r="A99" s="3">
        <v>98</v>
      </c>
      <c r="B99" s="4">
        <v>3079785</v>
      </c>
      <c r="C99" s="4">
        <v>61</v>
      </c>
      <c r="D99" s="4" t="s">
        <v>46</v>
      </c>
      <c r="E99" s="5">
        <v>45721</v>
      </c>
      <c r="F99" s="6">
        <v>45908</v>
      </c>
      <c r="G99" s="4" t="s">
        <v>9</v>
      </c>
      <c r="H99" s="3" t="s">
        <v>22</v>
      </c>
      <c r="I99" s="3">
        <v>0</v>
      </c>
      <c r="J99" s="3">
        <v>1</v>
      </c>
      <c r="K99" s="3">
        <v>1</v>
      </c>
      <c r="L99" s="3">
        <v>1</v>
      </c>
      <c r="M99" s="3">
        <v>36</v>
      </c>
      <c r="N99" s="3">
        <v>36</v>
      </c>
      <c r="O99" s="7">
        <f t="shared" si="12"/>
        <v>46.092437480817821</v>
      </c>
      <c r="P99" s="8">
        <f t="shared" si="13"/>
        <v>46.092437480817821</v>
      </c>
      <c r="Q99" s="8">
        <f t="shared" si="14"/>
        <v>0</v>
      </c>
      <c r="S99">
        <f t="shared" si="11"/>
        <v>0</v>
      </c>
    </row>
    <row r="100" spans="1:19" x14ac:dyDescent="0.25">
      <c r="A100" s="3">
        <v>99</v>
      </c>
      <c r="B100" s="4">
        <v>230814</v>
      </c>
      <c r="C100" s="4">
        <v>67</v>
      </c>
      <c r="D100" s="4" t="s">
        <v>46</v>
      </c>
      <c r="E100" s="5">
        <v>45726</v>
      </c>
      <c r="F100" s="6">
        <v>45849</v>
      </c>
      <c r="G100" s="4" t="s">
        <v>9</v>
      </c>
      <c r="H100" s="3" t="s">
        <v>18</v>
      </c>
      <c r="I100" s="3">
        <v>0</v>
      </c>
      <c r="J100" s="3">
        <v>1</v>
      </c>
      <c r="K100" s="3">
        <v>1</v>
      </c>
      <c r="L100" s="3">
        <v>6</v>
      </c>
      <c r="M100" s="3">
        <v>9</v>
      </c>
      <c r="N100" s="3">
        <v>7.5</v>
      </c>
      <c r="O100" s="7">
        <f t="shared" si="12"/>
        <v>76.195437047215933</v>
      </c>
      <c r="P100" s="8">
        <f t="shared" si="13"/>
        <v>80.154499349597174</v>
      </c>
      <c r="Q100" s="8">
        <f t="shared" si="14"/>
        <v>3.9590623023812412</v>
      </c>
      <c r="S100">
        <f t="shared" si="11"/>
        <v>0</v>
      </c>
    </row>
    <row r="101" spans="1:19" x14ac:dyDescent="0.25">
      <c r="A101" s="3">
        <v>100</v>
      </c>
      <c r="B101" s="4">
        <v>167506</v>
      </c>
      <c r="C101" s="4">
        <v>58</v>
      </c>
      <c r="D101" s="4" t="s">
        <v>46</v>
      </c>
      <c r="E101" s="5">
        <v>45674</v>
      </c>
      <c r="F101" s="6">
        <v>45839</v>
      </c>
      <c r="G101" s="4" t="s">
        <v>9</v>
      </c>
      <c r="H101" s="3" t="s">
        <v>22</v>
      </c>
      <c r="I101" s="3">
        <v>0</v>
      </c>
      <c r="J101" s="3">
        <v>1</v>
      </c>
      <c r="K101" s="3">
        <v>1</v>
      </c>
      <c r="L101" s="3">
        <v>8</v>
      </c>
      <c r="M101" s="3">
        <v>15</v>
      </c>
      <c r="N101" s="3">
        <v>12</v>
      </c>
      <c r="O101" s="7">
        <f t="shared" si="12"/>
        <v>65.102999566398125</v>
      </c>
      <c r="P101" s="8">
        <f t="shared" si="13"/>
        <v>69.948500216800937</v>
      </c>
      <c r="Q101" s="8">
        <f t="shared" si="14"/>
        <v>4.845500650402812</v>
      </c>
      <c r="S101">
        <f t="shared" si="11"/>
        <v>0</v>
      </c>
    </row>
    <row r="102" spans="1:19" x14ac:dyDescent="0.25">
      <c r="A102" s="3">
        <v>101</v>
      </c>
      <c r="B102" s="4">
        <v>196230</v>
      </c>
      <c r="C102" s="4">
        <v>63</v>
      </c>
      <c r="D102" s="4" t="s">
        <v>46</v>
      </c>
      <c r="E102" s="5">
        <v>45741</v>
      </c>
      <c r="F102" s="6">
        <v>45741</v>
      </c>
      <c r="G102" s="4" t="s">
        <v>9</v>
      </c>
      <c r="H102" s="3" t="s">
        <v>22</v>
      </c>
      <c r="I102" s="3">
        <v>0</v>
      </c>
      <c r="J102" s="3">
        <v>1</v>
      </c>
      <c r="K102" s="3">
        <v>1</v>
      </c>
      <c r="L102" s="3">
        <v>1</v>
      </c>
      <c r="M102" s="3">
        <v>12</v>
      </c>
      <c r="N102" s="3">
        <v>9</v>
      </c>
      <c r="O102" s="7">
        <f t="shared" si="12"/>
        <v>69.948500216800937</v>
      </c>
      <c r="P102" s="8">
        <f t="shared" si="13"/>
        <v>76.195437047215933</v>
      </c>
      <c r="Q102" s="8">
        <f t="shared" si="14"/>
        <v>6.2469368304149953</v>
      </c>
      <c r="S102">
        <f t="shared" si="11"/>
        <v>0</v>
      </c>
    </row>
    <row r="103" spans="1:19" x14ac:dyDescent="0.25">
      <c r="A103" s="3">
        <v>102</v>
      </c>
      <c r="B103" s="4" t="s">
        <v>50</v>
      </c>
      <c r="C103" s="4">
        <v>68</v>
      </c>
      <c r="D103" s="4" t="s">
        <v>46</v>
      </c>
      <c r="E103" s="5">
        <v>45747</v>
      </c>
      <c r="F103" s="6">
        <v>45999</v>
      </c>
      <c r="G103" s="4" t="s">
        <v>9</v>
      </c>
      <c r="H103" s="3" t="s">
        <v>18</v>
      </c>
      <c r="I103" s="3">
        <v>0</v>
      </c>
      <c r="J103" s="3">
        <v>7</v>
      </c>
      <c r="K103" s="3">
        <v>7</v>
      </c>
      <c r="L103" s="3">
        <v>18</v>
      </c>
      <c r="M103" s="3">
        <v>18</v>
      </c>
      <c r="N103" s="3">
        <v>18</v>
      </c>
      <c r="O103" s="7">
        <f t="shared" si="12"/>
        <v>61.143937264016877</v>
      </c>
      <c r="P103" s="8">
        <f t="shared" si="13"/>
        <v>61.143937264016877</v>
      </c>
      <c r="Q103" s="8">
        <f t="shared" si="14"/>
        <v>0</v>
      </c>
      <c r="S103">
        <f t="shared" si="11"/>
        <v>0</v>
      </c>
    </row>
    <row r="104" spans="1:19" x14ac:dyDescent="0.25">
      <c r="A104" s="3">
        <v>103</v>
      </c>
      <c r="B104" s="4">
        <v>802749</v>
      </c>
      <c r="C104" s="4">
        <v>56</v>
      </c>
      <c r="D104" s="4" t="s">
        <v>46</v>
      </c>
      <c r="E104" s="5">
        <v>45692</v>
      </c>
      <c r="F104" s="6">
        <v>45817</v>
      </c>
      <c r="G104" s="4" t="s">
        <v>9</v>
      </c>
      <c r="H104" s="3" t="s">
        <v>18</v>
      </c>
      <c r="I104" s="3">
        <v>0</v>
      </c>
      <c r="J104" s="3">
        <v>1</v>
      </c>
      <c r="K104" s="3">
        <v>1</v>
      </c>
      <c r="L104" s="3">
        <v>15</v>
      </c>
      <c r="M104" s="3">
        <v>7.5</v>
      </c>
      <c r="N104" s="3">
        <v>9</v>
      </c>
      <c r="O104" s="7">
        <f t="shared" si="12"/>
        <v>80.154499349597174</v>
      </c>
      <c r="P104" s="8">
        <f t="shared" si="13"/>
        <v>76.195437047215933</v>
      </c>
      <c r="Q104" s="8">
        <f t="shared" si="14"/>
        <v>-3.9590623023812412</v>
      </c>
      <c r="R104" t="s">
        <v>94</v>
      </c>
      <c r="S104">
        <f t="shared" si="11"/>
        <v>1</v>
      </c>
    </row>
    <row r="105" spans="1:19" x14ac:dyDescent="0.25">
      <c r="A105" s="3">
        <v>104</v>
      </c>
      <c r="B105" s="27">
        <v>1041943</v>
      </c>
      <c r="C105" s="3">
        <v>55</v>
      </c>
      <c r="D105" s="3" t="s">
        <v>46</v>
      </c>
      <c r="E105" s="15">
        <v>45672</v>
      </c>
      <c r="F105" s="6">
        <v>45782</v>
      </c>
      <c r="G105" s="3" t="s">
        <v>9</v>
      </c>
      <c r="H105" s="3" t="s">
        <v>18</v>
      </c>
      <c r="I105" s="3">
        <v>0</v>
      </c>
      <c r="J105" s="3">
        <v>1</v>
      </c>
      <c r="K105" s="3">
        <v>1</v>
      </c>
      <c r="L105" s="3">
        <v>7</v>
      </c>
      <c r="M105" s="3">
        <v>24</v>
      </c>
      <c r="N105" s="3">
        <v>24</v>
      </c>
      <c r="O105" s="7">
        <f t="shared" si="12"/>
        <v>54.897000433601882</v>
      </c>
      <c r="P105" s="8">
        <f t="shared" si="13"/>
        <v>54.897000433601882</v>
      </c>
      <c r="Q105" s="8">
        <f t="shared" si="14"/>
        <v>0</v>
      </c>
      <c r="S105">
        <f t="shared" si="11"/>
        <v>0</v>
      </c>
    </row>
    <row r="106" spans="1:19" x14ac:dyDescent="0.25">
      <c r="A106" s="3">
        <v>105</v>
      </c>
      <c r="B106" s="27">
        <v>1044270</v>
      </c>
      <c r="C106" s="3">
        <v>46</v>
      </c>
      <c r="D106" s="3" t="s">
        <v>46</v>
      </c>
      <c r="E106" s="15">
        <v>45743</v>
      </c>
      <c r="F106" s="6">
        <v>45799</v>
      </c>
      <c r="G106" s="3" t="s">
        <v>9</v>
      </c>
      <c r="H106" s="3" t="s">
        <v>18</v>
      </c>
      <c r="I106" s="3">
        <v>0</v>
      </c>
      <c r="J106" s="3">
        <v>1</v>
      </c>
      <c r="K106" s="3">
        <v>1</v>
      </c>
      <c r="L106" s="3">
        <v>8</v>
      </c>
      <c r="M106" s="3">
        <v>180</v>
      </c>
      <c r="N106" s="3">
        <v>120</v>
      </c>
      <c r="O106" s="7">
        <f t="shared" si="12"/>
        <v>11.143937264016884</v>
      </c>
      <c r="P106" s="8">
        <f t="shared" si="13"/>
        <v>19.948500216800937</v>
      </c>
      <c r="Q106" s="8">
        <f t="shared" si="14"/>
        <v>8.8045629527840532</v>
      </c>
      <c r="S106">
        <f t="shared" si="11"/>
        <v>0</v>
      </c>
    </row>
    <row r="107" spans="1:19" x14ac:dyDescent="0.25">
      <c r="A107" s="3">
        <v>106</v>
      </c>
      <c r="B107" s="27">
        <v>1044270</v>
      </c>
      <c r="C107" s="3">
        <v>46</v>
      </c>
      <c r="D107" s="3" t="s">
        <v>46</v>
      </c>
      <c r="E107" s="15">
        <v>45743</v>
      </c>
      <c r="F107" s="6">
        <v>45799</v>
      </c>
      <c r="G107" s="3" t="s">
        <v>9</v>
      </c>
      <c r="H107" s="3" t="s">
        <v>22</v>
      </c>
      <c r="I107" s="3">
        <v>0</v>
      </c>
      <c r="J107" s="3">
        <v>1</v>
      </c>
      <c r="K107" s="3">
        <v>1</v>
      </c>
      <c r="L107" s="3">
        <v>8</v>
      </c>
      <c r="M107" s="3">
        <v>60</v>
      </c>
      <c r="N107" s="3">
        <v>18</v>
      </c>
      <c r="O107" s="7">
        <f t="shared" si="12"/>
        <v>35</v>
      </c>
      <c r="P107" s="8">
        <f t="shared" si="13"/>
        <v>61.143937264016877</v>
      </c>
      <c r="Q107" s="8">
        <f t="shared" si="14"/>
        <v>26.143937264016877</v>
      </c>
      <c r="S107">
        <f t="shared" si="11"/>
        <v>0</v>
      </c>
    </row>
    <row r="108" spans="1:19" x14ac:dyDescent="0.25">
      <c r="A108" s="3">
        <v>107</v>
      </c>
      <c r="B108" s="27">
        <v>1036833</v>
      </c>
      <c r="C108" s="3">
        <v>63</v>
      </c>
      <c r="D108" s="3" t="s">
        <v>46</v>
      </c>
      <c r="E108" s="15">
        <v>45517</v>
      </c>
      <c r="F108" s="6">
        <v>45750</v>
      </c>
      <c r="G108" s="3" t="s">
        <v>9</v>
      </c>
      <c r="H108" s="3" t="s">
        <v>18</v>
      </c>
      <c r="I108" s="3">
        <v>0</v>
      </c>
      <c r="J108" s="3">
        <v>2</v>
      </c>
      <c r="K108" s="3">
        <v>2</v>
      </c>
      <c r="L108" s="3">
        <v>13</v>
      </c>
      <c r="M108" s="3">
        <v>7.5</v>
      </c>
      <c r="N108" s="3">
        <v>60</v>
      </c>
      <c r="O108" s="7">
        <f t="shared" si="12"/>
        <v>80.154499349597174</v>
      </c>
      <c r="P108" s="8">
        <f t="shared" si="13"/>
        <v>35</v>
      </c>
      <c r="Q108" s="8">
        <f t="shared" si="14"/>
        <v>-45.154499349597174</v>
      </c>
      <c r="S108">
        <f t="shared" si="11"/>
        <v>1</v>
      </c>
    </row>
    <row r="109" spans="1:19" x14ac:dyDescent="0.25">
      <c r="A109" s="3">
        <v>108</v>
      </c>
      <c r="B109" s="27">
        <v>1036833</v>
      </c>
      <c r="C109" s="3">
        <v>63</v>
      </c>
      <c r="D109" s="3" t="s">
        <v>46</v>
      </c>
      <c r="E109" s="15">
        <v>45517</v>
      </c>
      <c r="F109" s="6">
        <v>45750</v>
      </c>
      <c r="G109" s="3" t="s">
        <v>9</v>
      </c>
      <c r="H109" s="3" t="s">
        <v>22</v>
      </c>
      <c r="I109" s="3">
        <v>0</v>
      </c>
      <c r="J109" s="3">
        <v>2</v>
      </c>
      <c r="K109" s="3">
        <v>2</v>
      </c>
      <c r="L109" s="3">
        <v>13</v>
      </c>
      <c r="M109" s="3">
        <v>12</v>
      </c>
      <c r="N109" s="3">
        <v>12</v>
      </c>
      <c r="O109" s="7">
        <f t="shared" si="12"/>
        <v>69.948500216800937</v>
      </c>
      <c r="P109" s="8">
        <f t="shared" si="13"/>
        <v>69.948500216800937</v>
      </c>
      <c r="Q109" s="8">
        <f t="shared" si="14"/>
        <v>0</v>
      </c>
      <c r="S109">
        <f t="shared" si="11"/>
        <v>0</v>
      </c>
    </row>
    <row r="110" spans="1:19" x14ac:dyDescent="0.25">
      <c r="A110" s="3">
        <v>109</v>
      </c>
      <c r="B110" s="27">
        <v>1044038</v>
      </c>
      <c r="C110" s="3">
        <v>57</v>
      </c>
      <c r="D110" s="3" t="s">
        <v>46</v>
      </c>
      <c r="E110" s="15">
        <v>45726</v>
      </c>
      <c r="F110" s="6">
        <v>45810</v>
      </c>
      <c r="G110" s="3" t="s">
        <v>9</v>
      </c>
      <c r="H110" s="3" t="s">
        <v>18</v>
      </c>
      <c r="I110" s="3">
        <v>0</v>
      </c>
      <c r="J110" s="3">
        <v>1</v>
      </c>
      <c r="K110" s="3">
        <v>1</v>
      </c>
      <c r="L110" s="3">
        <v>8</v>
      </c>
      <c r="M110" s="3">
        <v>6</v>
      </c>
      <c r="N110" s="3">
        <v>6</v>
      </c>
      <c r="O110" s="7">
        <f t="shared" si="12"/>
        <v>85</v>
      </c>
      <c r="P110" s="8">
        <f t="shared" si="13"/>
        <v>85</v>
      </c>
      <c r="Q110" s="8">
        <f t="shared" si="14"/>
        <v>0</v>
      </c>
      <c r="S110">
        <f t="shared" si="11"/>
        <v>0</v>
      </c>
    </row>
    <row r="111" spans="1:19" x14ac:dyDescent="0.25">
      <c r="A111" s="3">
        <v>110</v>
      </c>
      <c r="B111" s="27">
        <v>1044038</v>
      </c>
      <c r="C111" s="3">
        <v>57</v>
      </c>
      <c r="D111" s="3" t="s">
        <v>46</v>
      </c>
      <c r="E111" s="15">
        <v>45726</v>
      </c>
      <c r="F111" s="6">
        <v>45810</v>
      </c>
      <c r="G111" s="3" t="s">
        <v>9</v>
      </c>
      <c r="H111" s="3" t="s">
        <v>22</v>
      </c>
      <c r="I111" s="3">
        <v>0</v>
      </c>
      <c r="J111" s="3">
        <v>1</v>
      </c>
      <c r="K111" s="3">
        <v>1</v>
      </c>
      <c r="L111" s="3">
        <v>8</v>
      </c>
      <c r="M111" s="3">
        <v>24</v>
      </c>
      <c r="N111" s="3">
        <v>12</v>
      </c>
      <c r="O111" s="7">
        <f t="shared" si="12"/>
        <v>54.897000433601882</v>
      </c>
      <c r="P111" s="8">
        <f t="shared" si="13"/>
        <v>69.948500216800937</v>
      </c>
      <c r="Q111" s="8">
        <f t="shared" si="14"/>
        <v>15.051499783199056</v>
      </c>
      <c r="S111">
        <f t="shared" si="11"/>
        <v>0</v>
      </c>
    </row>
    <row r="112" spans="1:19" x14ac:dyDescent="0.25">
      <c r="A112" s="3">
        <v>111</v>
      </c>
      <c r="B112" s="27">
        <v>1044910</v>
      </c>
      <c r="C112" s="3">
        <v>60</v>
      </c>
      <c r="D112" s="3" t="s">
        <v>47</v>
      </c>
      <c r="E112" s="15">
        <v>45752</v>
      </c>
      <c r="F112" s="6">
        <v>45793</v>
      </c>
      <c r="G112" s="3" t="s">
        <v>9</v>
      </c>
      <c r="H112" s="3" t="s">
        <v>22</v>
      </c>
      <c r="I112" s="3">
        <v>0</v>
      </c>
      <c r="J112" s="3">
        <v>2</v>
      </c>
      <c r="K112" s="3">
        <v>2</v>
      </c>
      <c r="L112" s="3">
        <v>5</v>
      </c>
      <c r="M112" s="3">
        <v>60</v>
      </c>
      <c r="N112" s="3">
        <v>36</v>
      </c>
      <c r="O112" s="7">
        <f t="shared" si="12"/>
        <v>35</v>
      </c>
      <c r="P112" s="8">
        <f t="shared" si="13"/>
        <v>46.092437480817821</v>
      </c>
      <c r="Q112" s="8">
        <f t="shared" si="14"/>
        <v>11.092437480817821</v>
      </c>
      <c r="S112">
        <f t="shared" si="11"/>
        <v>0</v>
      </c>
    </row>
    <row r="113" spans="1:19" x14ac:dyDescent="0.25">
      <c r="A113" s="3">
        <v>112</v>
      </c>
      <c r="B113" s="27">
        <v>1010913</v>
      </c>
      <c r="C113" s="3">
        <v>61</v>
      </c>
      <c r="D113" s="3" t="s">
        <v>46</v>
      </c>
      <c r="E113" s="15">
        <v>45628</v>
      </c>
      <c r="F113" s="6">
        <v>45813</v>
      </c>
      <c r="G113" s="3" t="s">
        <v>9</v>
      </c>
      <c r="H113" s="3" t="s">
        <v>18</v>
      </c>
      <c r="I113" s="3">
        <v>0</v>
      </c>
      <c r="J113" s="3">
        <v>1</v>
      </c>
      <c r="K113" s="3">
        <v>1</v>
      </c>
      <c r="L113" s="3">
        <v>6</v>
      </c>
      <c r="M113" s="3">
        <v>9</v>
      </c>
      <c r="N113" s="3">
        <v>18</v>
      </c>
      <c r="O113" s="7">
        <f t="shared" si="12"/>
        <v>76.195437047215933</v>
      </c>
      <c r="P113" s="8">
        <f t="shared" si="13"/>
        <v>61.143937264016877</v>
      </c>
      <c r="Q113" s="8">
        <f t="shared" si="14"/>
        <v>-15.051499783199056</v>
      </c>
      <c r="R113" t="s">
        <v>94</v>
      </c>
      <c r="S113">
        <f t="shared" si="11"/>
        <v>1</v>
      </c>
    </row>
    <row r="114" spans="1:19" x14ac:dyDescent="0.25">
      <c r="A114" s="3">
        <v>113</v>
      </c>
      <c r="B114" s="27">
        <v>267871</v>
      </c>
      <c r="C114" s="3">
        <v>56</v>
      </c>
      <c r="D114" s="3" t="s">
        <v>46</v>
      </c>
      <c r="E114" s="15">
        <v>45769</v>
      </c>
      <c r="F114" s="15">
        <v>45769</v>
      </c>
      <c r="G114" s="3" t="s">
        <v>9</v>
      </c>
      <c r="H114" s="3" t="s">
        <v>22</v>
      </c>
      <c r="I114" s="3">
        <v>0</v>
      </c>
      <c r="J114" s="3">
        <v>1</v>
      </c>
      <c r="K114" s="3">
        <v>1</v>
      </c>
      <c r="L114" s="3">
        <v>1</v>
      </c>
      <c r="M114" s="3">
        <v>24</v>
      </c>
      <c r="N114" s="3">
        <v>9</v>
      </c>
      <c r="O114" s="7">
        <f t="shared" si="12"/>
        <v>54.897000433601882</v>
      </c>
      <c r="P114" s="8">
        <f t="shared" si="13"/>
        <v>76.195437047215933</v>
      </c>
      <c r="Q114" s="8">
        <f t="shared" si="14"/>
        <v>21.298436613614051</v>
      </c>
      <c r="S114">
        <f t="shared" si="11"/>
        <v>0</v>
      </c>
    </row>
    <row r="115" spans="1:19" x14ac:dyDescent="0.25">
      <c r="A115" s="3">
        <v>114</v>
      </c>
      <c r="B115" s="27">
        <v>1043062</v>
      </c>
      <c r="C115" s="3">
        <v>69</v>
      </c>
      <c r="D115" s="3" t="s">
        <v>47</v>
      </c>
      <c r="E115" s="15">
        <v>45769</v>
      </c>
      <c r="F115" s="6">
        <v>45974</v>
      </c>
      <c r="G115" s="3" t="s">
        <v>9</v>
      </c>
      <c r="H115" s="3" t="s">
        <v>18</v>
      </c>
      <c r="I115" s="3">
        <v>0</v>
      </c>
      <c r="J115" s="3">
        <v>3</v>
      </c>
      <c r="K115" s="3">
        <v>3</v>
      </c>
      <c r="L115" s="3">
        <v>16</v>
      </c>
      <c r="M115" s="3">
        <v>6</v>
      </c>
      <c r="N115" s="3">
        <v>6</v>
      </c>
      <c r="O115" s="7">
        <f t="shared" si="12"/>
        <v>85</v>
      </c>
      <c r="P115" s="8">
        <f t="shared" si="13"/>
        <v>85</v>
      </c>
      <c r="Q115" s="8">
        <f t="shared" si="14"/>
        <v>0</v>
      </c>
      <c r="S115">
        <f t="shared" si="11"/>
        <v>0</v>
      </c>
    </row>
    <row r="116" spans="1:19" x14ac:dyDescent="0.25">
      <c r="A116" s="3">
        <v>115</v>
      </c>
      <c r="B116" s="27">
        <v>1043062</v>
      </c>
      <c r="C116" s="3">
        <v>69</v>
      </c>
      <c r="D116" s="3" t="s">
        <v>47</v>
      </c>
      <c r="E116" s="15">
        <v>45769</v>
      </c>
      <c r="F116" s="6">
        <v>45974</v>
      </c>
      <c r="G116" s="3" t="s">
        <v>9</v>
      </c>
      <c r="H116" s="3" t="s">
        <v>22</v>
      </c>
      <c r="I116" s="3">
        <v>0</v>
      </c>
      <c r="J116" s="3">
        <v>1</v>
      </c>
      <c r="K116" s="3">
        <v>1</v>
      </c>
      <c r="L116" s="3">
        <v>16</v>
      </c>
      <c r="M116" s="3">
        <v>12</v>
      </c>
      <c r="N116" s="3">
        <v>6</v>
      </c>
      <c r="O116" s="7">
        <f t="shared" si="12"/>
        <v>69.948500216800937</v>
      </c>
      <c r="P116" s="8">
        <f t="shared" si="13"/>
        <v>85</v>
      </c>
      <c r="Q116" s="8">
        <f t="shared" si="14"/>
        <v>15.051499783199063</v>
      </c>
      <c r="S116">
        <f t="shared" si="11"/>
        <v>0</v>
      </c>
    </row>
    <row r="117" spans="1:19" x14ac:dyDescent="0.25">
      <c r="A117" s="3">
        <v>116</v>
      </c>
      <c r="B117" s="27">
        <v>154318</v>
      </c>
      <c r="C117" s="3">
        <v>58</v>
      </c>
      <c r="D117" s="3" t="s">
        <v>46</v>
      </c>
      <c r="E117" s="15">
        <v>45721</v>
      </c>
      <c r="F117" s="6">
        <v>45895</v>
      </c>
      <c r="G117" s="3" t="s">
        <v>9</v>
      </c>
      <c r="H117" s="3" t="s">
        <v>18</v>
      </c>
      <c r="I117" s="3">
        <v>0</v>
      </c>
      <c r="J117" s="3">
        <v>2</v>
      </c>
      <c r="K117" s="3">
        <v>2</v>
      </c>
      <c r="L117" s="3">
        <v>12</v>
      </c>
      <c r="M117" s="3">
        <v>60</v>
      </c>
      <c r="N117" s="3">
        <v>24</v>
      </c>
      <c r="O117" s="7">
        <f t="shared" si="12"/>
        <v>35</v>
      </c>
      <c r="P117" s="8">
        <f t="shared" si="13"/>
        <v>54.897000433601882</v>
      </c>
      <c r="Q117" s="8">
        <f t="shared" si="14"/>
        <v>19.897000433601882</v>
      </c>
      <c r="S117">
        <f t="shared" si="11"/>
        <v>0</v>
      </c>
    </row>
    <row r="118" spans="1:19" x14ac:dyDescent="0.25">
      <c r="A118" s="3">
        <v>117</v>
      </c>
      <c r="B118" s="27">
        <v>1025212</v>
      </c>
      <c r="C118" s="3">
        <v>51</v>
      </c>
      <c r="D118" s="3" t="s">
        <v>46</v>
      </c>
      <c r="E118" s="15">
        <v>45740</v>
      </c>
      <c r="F118" s="6">
        <v>46008</v>
      </c>
      <c r="G118" s="3" t="s">
        <v>9</v>
      </c>
      <c r="H118" s="3" t="s">
        <v>22</v>
      </c>
      <c r="I118" s="3">
        <v>0</v>
      </c>
      <c r="J118" s="3">
        <v>1</v>
      </c>
      <c r="K118" s="3">
        <v>1</v>
      </c>
      <c r="L118" s="3">
        <v>13</v>
      </c>
      <c r="M118" s="3">
        <v>12</v>
      </c>
      <c r="N118" s="3">
        <v>18</v>
      </c>
      <c r="O118" s="7">
        <f t="shared" si="12"/>
        <v>69.948500216800937</v>
      </c>
      <c r="P118" s="8">
        <f t="shared" si="13"/>
        <v>61.143937264016877</v>
      </c>
      <c r="Q118" s="8">
        <f t="shared" si="14"/>
        <v>-8.8045629527840603</v>
      </c>
      <c r="R118" t="s">
        <v>87</v>
      </c>
      <c r="S118">
        <f t="shared" si="11"/>
        <v>1</v>
      </c>
    </row>
    <row r="119" spans="1:19" x14ac:dyDescent="0.25">
      <c r="A119" s="3">
        <v>118</v>
      </c>
      <c r="B119" s="27">
        <v>1045493</v>
      </c>
      <c r="C119" s="3">
        <v>52</v>
      </c>
      <c r="D119" s="3" t="s">
        <v>46</v>
      </c>
      <c r="E119" s="15">
        <v>45769</v>
      </c>
      <c r="F119" s="6">
        <v>46031</v>
      </c>
      <c r="G119" s="3" t="s">
        <v>9</v>
      </c>
      <c r="H119" s="3" t="s">
        <v>18</v>
      </c>
      <c r="I119" s="3">
        <v>0</v>
      </c>
      <c r="J119" s="3">
        <v>2</v>
      </c>
      <c r="K119" s="3">
        <v>2</v>
      </c>
      <c r="L119" s="3">
        <v>17</v>
      </c>
      <c r="M119" s="3">
        <v>18</v>
      </c>
      <c r="N119" s="3">
        <v>60</v>
      </c>
      <c r="O119" s="7">
        <f t="shared" si="12"/>
        <v>61.143937264016877</v>
      </c>
      <c r="P119" s="8">
        <f t="shared" si="13"/>
        <v>35</v>
      </c>
      <c r="Q119" s="8">
        <f t="shared" si="14"/>
        <v>-26.143937264016877</v>
      </c>
      <c r="R119" t="s">
        <v>86</v>
      </c>
      <c r="S119">
        <f t="shared" si="11"/>
        <v>1</v>
      </c>
    </row>
    <row r="120" spans="1:19" x14ac:dyDescent="0.25">
      <c r="A120" s="3">
        <v>119</v>
      </c>
      <c r="B120" s="27">
        <v>1045691</v>
      </c>
      <c r="C120" s="3">
        <v>66</v>
      </c>
      <c r="D120" s="3" t="s">
        <v>47</v>
      </c>
      <c r="E120" s="15">
        <v>45784</v>
      </c>
      <c r="F120" s="15">
        <v>45784</v>
      </c>
      <c r="G120" s="3" t="s">
        <v>9</v>
      </c>
      <c r="H120" s="3" t="s">
        <v>18</v>
      </c>
      <c r="I120" s="3">
        <v>0</v>
      </c>
      <c r="J120" s="3">
        <v>1</v>
      </c>
      <c r="K120" s="3">
        <v>1</v>
      </c>
      <c r="L120" s="3">
        <v>1</v>
      </c>
      <c r="M120" s="3">
        <v>24</v>
      </c>
      <c r="N120" s="3">
        <v>9</v>
      </c>
      <c r="O120" s="7">
        <f t="shared" si="12"/>
        <v>54.897000433601882</v>
      </c>
      <c r="P120" s="8">
        <f t="shared" si="13"/>
        <v>76.195437047215933</v>
      </c>
      <c r="Q120" s="8">
        <f t="shared" si="14"/>
        <v>21.298436613614051</v>
      </c>
      <c r="S120">
        <f t="shared" si="11"/>
        <v>0</v>
      </c>
    </row>
    <row r="121" spans="1:19" x14ac:dyDescent="0.25">
      <c r="A121" s="3">
        <v>120</v>
      </c>
      <c r="B121" s="27">
        <v>143820</v>
      </c>
      <c r="C121" s="3">
        <v>71</v>
      </c>
      <c r="D121" s="3" t="s">
        <v>46</v>
      </c>
      <c r="E121" s="15">
        <v>45784</v>
      </c>
      <c r="F121" s="15">
        <v>45785</v>
      </c>
      <c r="G121" s="3" t="s">
        <v>9</v>
      </c>
      <c r="H121" s="3" t="s">
        <v>18</v>
      </c>
      <c r="I121" s="3">
        <v>0</v>
      </c>
      <c r="J121" s="3">
        <v>1</v>
      </c>
      <c r="K121" s="3">
        <v>1</v>
      </c>
      <c r="L121" s="3">
        <v>3</v>
      </c>
      <c r="M121" s="3">
        <v>60</v>
      </c>
      <c r="N121" s="3">
        <v>36</v>
      </c>
      <c r="O121" s="7">
        <f>85+50*LOG10(6/N121)</f>
        <v>46.092437480817821</v>
      </c>
      <c r="P121" s="8">
        <f t="shared" si="13"/>
        <v>46.092437480817821</v>
      </c>
      <c r="Q121" s="8">
        <f t="shared" si="14"/>
        <v>0</v>
      </c>
      <c r="S121">
        <f t="shared" si="11"/>
        <v>0</v>
      </c>
    </row>
    <row r="122" spans="1:19" x14ac:dyDescent="0.25">
      <c r="A122" s="3">
        <v>121</v>
      </c>
      <c r="B122" s="27" t="s">
        <v>54</v>
      </c>
      <c r="C122" s="3">
        <v>66</v>
      </c>
      <c r="D122" s="3" t="s">
        <v>47</v>
      </c>
      <c r="E122" s="15">
        <v>45789</v>
      </c>
      <c r="F122" s="15">
        <v>45789</v>
      </c>
      <c r="G122" s="3" t="s">
        <v>9</v>
      </c>
      <c r="H122" s="3" t="s">
        <v>18</v>
      </c>
      <c r="I122" s="3">
        <v>0</v>
      </c>
      <c r="J122" s="3">
        <v>1</v>
      </c>
      <c r="K122" s="3">
        <v>1</v>
      </c>
      <c r="L122" s="3">
        <v>1</v>
      </c>
      <c r="M122" s="3">
        <v>18</v>
      </c>
      <c r="N122" s="3">
        <v>9</v>
      </c>
      <c r="O122" s="7">
        <f t="shared" ref="O122:O127" si="15">85+50*LOG10(6/M122)</f>
        <v>61.143937264016877</v>
      </c>
      <c r="P122" s="8">
        <f t="shared" si="13"/>
        <v>76.195437047215933</v>
      </c>
      <c r="Q122" s="8">
        <f t="shared" si="14"/>
        <v>15.051499783199056</v>
      </c>
      <c r="S122">
        <f t="shared" si="11"/>
        <v>0</v>
      </c>
    </row>
    <row r="123" spans="1:19" x14ac:dyDescent="0.25">
      <c r="A123" s="3">
        <v>122</v>
      </c>
      <c r="B123" s="27">
        <v>1046541</v>
      </c>
      <c r="C123" s="3">
        <v>54</v>
      </c>
      <c r="D123" s="3" t="s">
        <v>46</v>
      </c>
      <c r="E123" s="15">
        <v>56755</v>
      </c>
      <c r="F123" s="6">
        <v>45840</v>
      </c>
      <c r="G123" s="3" t="s">
        <v>9</v>
      </c>
      <c r="H123" s="3" t="s">
        <v>18</v>
      </c>
      <c r="I123" s="3">
        <v>0</v>
      </c>
      <c r="J123" s="3">
        <v>1</v>
      </c>
      <c r="K123" s="3">
        <v>1</v>
      </c>
      <c r="L123" s="3">
        <v>4</v>
      </c>
      <c r="M123" s="3">
        <v>12</v>
      </c>
      <c r="N123" s="3">
        <v>12</v>
      </c>
      <c r="O123" s="7">
        <f t="shared" si="15"/>
        <v>69.948500216800937</v>
      </c>
      <c r="P123" s="8">
        <f t="shared" si="13"/>
        <v>69.948500216800937</v>
      </c>
      <c r="Q123" s="8">
        <f t="shared" si="14"/>
        <v>0</v>
      </c>
      <c r="S123">
        <f t="shared" si="11"/>
        <v>0</v>
      </c>
    </row>
    <row r="124" spans="1:19" x14ac:dyDescent="0.25">
      <c r="A124" s="3">
        <v>123</v>
      </c>
      <c r="B124" s="27">
        <v>1046541</v>
      </c>
      <c r="C124" s="3">
        <v>54</v>
      </c>
      <c r="D124" s="3" t="s">
        <v>46</v>
      </c>
      <c r="E124" s="15">
        <v>56755</v>
      </c>
      <c r="F124" s="6">
        <v>45840</v>
      </c>
      <c r="G124" s="3" t="s">
        <v>9</v>
      </c>
      <c r="H124" s="3" t="s">
        <v>22</v>
      </c>
      <c r="I124" s="3">
        <v>0</v>
      </c>
      <c r="J124" s="3">
        <v>1</v>
      </c>
      <c r="K124" s="3">
        <v>1</v>
      </c>
      <c r="L124" s="3">
        <v>4</v>
      </c>
      <c r="M124" s="3">
        <v>36</v>
      </c>
      <c r="N124" s="3">
        <v>18</v>
      </c>
      <c r="O124" s="7">
        <f t="shared" si="15"/>
        <v>46.092437480817821</v>
      </c>
      <c r="P124" s="8">
        <f t="shared" si="13"/>
        <v>61.143937264016877</v>
      </c>
      <c r="Q124" s="8">
        <f t="shared" si="14"/>
        <v>15.051499783199056</v>
      </c>
      <c r="S124">
        <f t="shared" si="11"/>
        <v>0</v>
      </c>
    </row>
    <row r="125" spans="1:19" x14ac:dyDescent="0.25">
      <c r="A125" s="3">
        <v>124</v>
      </c>
      <c r="B125" s="27">
        <v>1046127</v>
      </c>
      <c r="C125" s="3">
        <v>60</v>
      </c>
      <c r="D125" s="3" t="s">
        <v>47</v>
      </c>
      <c r="E125" s="15">
        <v>45787</v>
      </c>
      <c r="F125" s="6">
        <v>45906</v>
      </c>
      <c r="G125" s="3" t="s">
        <v>9</v>
      </c>
      <c r="H125" s="3" t="s">
        <v>22</v>
      </c>
      <c r="I125" s="3">
        <v>0</v>
      </c>
      <c r="J125" s="3">
        <v>1</v>
      </c>
      <c r="K125" s="3">
        <v>1</v>
      </c>
      <c r="L125" s="3">
        <v>10</v>
      </c>
      <c r="M125" s="3">
        <v>24</v>
      </c>
      <c r="N125" s="3">
        <v>18</v>
      </c>
      <c r="O125" s="7">
        <f t="shared" si="15"/>
        <v>54.897000433601882</v>
      </c>
      <c r="P125" s="8">
        <f t="shared" si="13"/>
        <v>61.143937264016877</v>
      </c>
      <c r="Q125" s="8">
        <f t="shared" si="14"/>
        <v>6.2469368304149953</v>
      </c>
      <c r="S125">
        <f t="shared" si="11"/>
        <v>0</v>
      </c>
    </row>
    <row r="126" spans="1:19" x14ac:dyDescent="0.25">
      <c r="A126" s="3">
        <v>125</v>
      </c>
      <c r="B126" s="27">
        <v>3073699</v>
      </c>
      <c r="C126" s="3">
        <v>56</v>
      </c>
      <c r="D126" s="3" t="s">
        <v>47</v>
      </c>
      <c r="E126" s="15">
        <v>45679</v>
      </c>
      <c r="F126" s="6">
        <v>45866</v>
      </c>
      <c r="G126" s="3" t="s">
        <v>9</v>
      </c>
      <c r="H126" s="3" t="s">
        <v>18</v>
      </c>
      <c r="I126" s="3">
        <v>0</v>
      </c>
      <c r="J126" s="3">
        <v>2</v>
      </c>
      <c r="K126" s="3">
        <v>2</v>
      </c>
      <c r="L126" s="3">
        <v>8</v>
      </c>
      <c r="M126" s="3">
        <v>60</v>
      </c>
      <c r="N126" s="3">
        <v>60</v>
      </c>
      <c r="O126" s="7">
        <f t="shared" si="15"/>
        <v>35</v>
      </c>
      <c r="P126" s="8">
        <f t="shared" si="13"/>
        <v>35</v>
      </c>
      <c r="Q126" s="8">
        <f t="shared" si="14"/>
        <v>0</v>
      </c>
      <c r="S126">
        <f t="shared" si="11"/>
        <v>0</v>
      </c>
    </row>
    <row r="127" spans="1:19" x14ac:dyDescent="0.25">
      <c r="A127" s="3">
        <v>126</v>
      </c>
      <c r="B127" s="27">
        <v>3073699</v>
      </c>
      <c r="C127" s="3">
        <v>56</v>
      </c>
      <c r="D127" s="3" t="s">
        <v>47</v>
      </c>
      <c r="E127" s="15">
        <v>45694</v>
      </c>
      <c r="F127" s="6">
        <v>45866</v>
      </c>
      <c r="G127" s="3" t="s">
        <v>9</v>
      </c>
      <c r="H127" s="3" t="s">
        <v>22</v>
      </c>
      <c r="I127" s="3">
        <v>0</v>
      </c>
      <c r="J127" s="3">
        <v>1</v>
      </c>
      <c r="K127" s="3">
        <v>1</v>
      </c>
      <c r="L127" s="3">
        <v>7</v>
      </c>
      <c r="M127" s="3">
        <v>60</v>
      </c>
      <c r="N127" s="3" t="s">
        <v>55</v>
      </c>
      <c r="O127" s="7">
        <f t="shared" si="15"/>
        <v>35</v>
      </c>
      <c r="P127" s="8">
        <v>0</v>
      </c>
      <c r="Q127" s="8">
        <f t="shared" ref="Q127:Q155" si="16">P127-O127</f>
        <v>-35</v>
      </c>
      <c r="R127" t="s">
        <v>95</v>
      </c>
      <c r="S127">
        <f t="shared" si="11"/>
        <v>1</v>
      </c>
    </row>
    <row r="128" spans="1:19" x14ac:dyDescent="0.25">
      <c r="A128" s="3">
        <v>127</v>
      </c>
      <c r="B128" s="27">
        <v>268113</v>
      </c>
      <c r="C128" s="3">
        <v>58</v>
      </c>
      <c r="D128" s="3" t="s">
        <v>46</v>
      </c>
      <c r="E128" s="15">
        <v>45787</v>
      </c>
      <c r="F128" s="6">
        <v>45910</v>
      </c>
      <c r="G128" s="3" t="s">
        <v>9</v>
      </c>
      <c r="H128" s="3" t="s">
        <v>18</v>
      </c>
      <c r="I128" s="3">
        <v>0</v>
      </c>
      <c r="J128" s="3">
        <v>1</v>
      </c>
      <c r="K128" s="3">
        <v>1</v>
      </c>
      <c r="L128" s="3">
        <v>9</v>
      </c>
      <c r="M128" s="3" t="s">
        <v>39</v>
      </c>
      <c r="N128" s="3" t="s">
        <v>29</v>
      </c>
      <c r="O128" s="7">
        <v>0</v>
      </c>
      <c r="P128" s="8">
        <v>0</v>
      </c>
      <c r="Q128" s="8">
        <f t="shared" si="16"/>
        <v>0</v>
      </c>
      <c r="S128">
        <f t="shared" ref="S128:S178" si="17">COUNTIF(Q128,"&lt;0")</f>
        <v>0</v>
      </c>
    </row>
    <row r="129" spans="1:19" x14ac:dyDescent="0.25">
      <c r="A129" s="3">
        <v>128</v>
      </c>
      <c r="B129" s="27">
        <v>268113</v>
      </c>
      <c r="C129" s="3">
        <v>58</v>
      </c>
      <c r="D129" s="3" t="s">
        <v>46</v>
      </c>
      <c r="E129" s="15">
        <v>45787</v>
      </c>
      <c r="F129" s="6">
        <v>45910</v>
      </c>
      <c r="G129" s="3" t="s">
        <v>9</v>
      </c>
      <c r="H129" s="3" t="s">
        <v>22</v>
      </c>
      <c r="I129" s="3">
        <v>0</v>
      </c>
      <c r="J129" s="3">
        <v>1</v>
      </c>
      <c r="K129" s="3">
        <v>1</v>
      </c>
      <c r="L129" s="3">
        <v>9</v>
      </c>
      <c r="M129" s="3">
        <v>180</v>
      </c>
      <c r="N129" s="3">
        <v>60</v>
      </c>
      <c r="O129" s="7">
        <f t="shared" ref="O129:O141" si="18">85+50*LOG10(6/M129)</f>
        <v>11.143937264016884</v>
      </c>
      <c r="P129" s="8">
        <f t="shared" ref="P129:P141" si="19">85+50*LOG10(6/N129)</f>
        <v>35</v>
      </c>
      <c r="Q129" s="8">
        <f t="shared" si="16"/>
        <v>23.856062735983116</v>
      </c>
      <c r="S129">
        <f t="shared" si="17"/>
        <v>0</v>
      </c>
    </row>
    <row r="130" spans="1:19" x14ac:dyDescent="0.25">
      <c r="A130" s="3">
        <v>129</v>
      </c>
      <c r="B130" s="27" t="s">
        <v>56</v>
      </c>
      <c r="C130" s="3">
        <v>67</v>
      </c>
      <c r="D130" s="3" t="s">
        <v>47</v>
      </c>
      <c r="E130" s="15">
        <v>45799</v>
      </c>
      <c r="F130" s="6">
        <v>45927</v>
      </c>
      <c r="G130" s="3" t="s">
        <v>9</v>
      </c>
      <c r="H130" s="3" t="s">
        <v>22</v>
      </c>
      <c r="I130" s="3">
        <v>0</v>
      </c>
      <c r="J130" s="3">
        <v>2</v>
      </c>
      <c r="K130" s="3">
        <v>2</v>
      </c>
      <c r="L130" s="3">
        <v>11</v>
      </c>
      <c r="M130" s="3">
        <v>24</v>
      </c>
      <c r="N130" s="3">
        <v>18</v>
      </c>
      <c r="O130" s="7">
        <f t="shared" si="18"/>
        <v>54.897000433601882</v>
      </c>
      <c r="P130" s="8">
        <f t="shared" si="19"/>
        <v>61.143937264016877</v>
      </c>
      <c r="Q130" s="8">
        <f t="shared" si="16"/>
        <v>6.2469368304149953</v>
      </c>
      <c r="S130">
        <f t="shared" si="17"/>
        <v>0</v>
      </c>
    </row>
    <row r="131" spans="1:19" x14ac:dyDescent="0.25">
      <c r="A131" s="3">
        <v>130</v>
      </c>
      <c r="B131" s="27">
        <v>1017513</v>
      </c>
      <c r="C131" s="3">
        <v>57</v>
      </c>
      <c r="D131" s="3" t="s">
        <v>46</v>
      </c>
      <c r="E131" s="15">
        <v>45784</v>
      </c>
      <c r="F131" s="6">
        <v>45842</v>
      </c>
      <c r="G131" s="3" t="s">
        <v>9</v>
      </c>
      <c r="H131" s="3" t="s">
        <v>22</v>
      </c>
      <c r="I131" s="3">
        <v>0</v>
      </c>
      <c r="J131" s="3">
        <v>1</v>
      </c>
      <c r="K131" s="3">
        <v>1</v>
      </c>
      <c r="L131" s="3">
        <v>5</v>
      </c>
      <c r="M131" s="3">
        <v>6</v>
      </c>
      <c r="N131" s="3">
        <v>6</v>
      </c>
      <c r="O131" s="7">
        <f t="shared" si="18"/>
        <v>85</v>
      </c>
      <c r="P131" s="8">
        <f t="shared" si="19"/>
        <v>85</v>
      </c>
      <c r="Q131" s="8">
        <f t="shared" si="16"/>
        <v>0</v>
      </c>
      <c r="S131">
        <f t="shared" si="17"/>
        <v>0</v>
      </c>
    </row>
    <row r="132" spans="1:19" x14ac:dyDescent="0.25">
      <c r="A132" s="3">
        <v>131</v>
      </c>
      <c r="B132" s="27">
        <v>1041655</v>
      </c>
      <c r="C132" s="3">
        <v>72</v>
      </c>
      <c r="D132" s="3" t="s">
        <v>46</v>
      </c>
      <c r="E132" s="15">
        <v>45656</v>
      </c>
      <c r="F132" s="6">
        <v>45913</v>
      </c>
      <c r="G132" s="3" t="s">
        <v>9</v>
      </c>
      <c r="H132" s="3" t="s">
        <v>18</v>
      </c>
      <c r="I132" s="3">
        <v>0</v>
      </c>
      <c r="J132" s="3">
        <v>2</v>
      </c>
      <c r="K132" s="3">
        <v>2</v>
      </c>
      <c r="L132" s="3">
        <v>15</v>
      </c>
      <c r="M132" s="3">
        <v>24</v>
      </c>
      <c r="N132" s="3">
        <v>18</v>
      </c>
      <c r="O132" s="7">
        <f t="shared" si="18"/>
        <v>54.897000433601882</v>
      </c>
      <c r="P132" s="8">
        <f t="shared" si="19"/>
        <v>61.143937264016877</v>
      </c>
      <c r="Q132" s="8">
        <f t="shared" si="16"/>
        <v>6.2469368304149953</v>
      </c>
      <c r="S132">
        <f t="shared" si="17"/>
        <v>0</v>
      </c>
    </row>
    <row r="133" spans="1:19" x14ac:dyDescent="0.25">
      <c r="A133" s="3">
        <v>132</v>
      </c>
      <c r="B133" s="27">
        <v>1024734</v>
      </c>
      <c r="C133" s="3">
        <v>68</v>
      </c>
      <c r="D133" s="3" t="s">
        <v>47</v>
      </c>
      <c r="E133" s="15">
        <v>45806</v>
      </c>
      <c r="F133" s="6">
        <v>45855</v>
      </c>
      <c r="G133" s="3" t="s">
        <v>9</v>
      </c>
      <c r="H133" s="3" t="s">
        <v>18</v>
      </c>
      <c r="I133" s="3">
        <v>0</v>
      </c>
      <c r="J133" s="3">
        <v>1</v>
      </c>
      <c r="K133" s="3">
        <v>1</v>
      </c>
      <c r="L133" s="3">
        <v>4</v>
      </c>
      <c r="M133" s="3">
        <v>9</v>
      </c>
      <c r="N133" s="3">
        <v>12</v>
      </c>
      <c r="O133" s="7">
        <f t="shared" si="18"/>
        <v>76.195437047215933</v>
      </c>
      <c r="P133" s="8">
        <f t="shared" si="19"/>
        <v>69.948500216800937</v>
      </c>
      <c r="Q133" s="8">
        <f t="shared" si="16"/>
        <v>-6.2469368304149953</v>
      </c>
      <c r="R133" t="s">
        <v>88</v>
      </c>
      <c r="S133">
        <f t="shared" si="17"/>
        <v>1</v>
      </c>
    </row>
    <row r="134" spans="1:19" x14ac:dyDescent="0.25">
      <c r="A134" s="3">
        <v>133</v>
      </c>
      <c r="B134" s="27">
        <v>1047125</v>
      </c>
      <c r="C134" s="3">
        <v>33</v>
      </c>
      <c r="D134" s="3" t="s">
        <v>46</v>
      </c>
      <c r="E134" s="15">
        <v>45815</v>
      </c>
      <c r="F134" s="6">
        <v>45994</v>
      </c>
      <c r="G134" s="3" t="s">
        <v>9</v>
      </c>
      <c r="H134" s="3" t="s">
        <v>22</v>
      </c>
      <c r="I134" s="3">
        <v>0</v>
      </c>
      <c r="J134" s="3">
        <v>2</v>
      </c>
      <c r="K134" s="3">
        <v>2</v>
      </c>
      <c r="L134" s="3">
        <v>12</v>
      </c>
      <c r="M134" s="3">
        <v>18</v>
      </c>
      <c r="N134" s="3">
        <v>12</v>
      </c>
      <c r="O134" s="7">
        <f t="shared" si="18"/>
        <v>61.143937264016877</v>
      </c>
      <c r="P134" s="8">
        <f t="shared" si="19"/>
        <v>69.948500216800937</v>
      </c>
      <c r="Q134" s="8">
        <f t="shared" si="16"/>
        <v>8.8045629527840603</v>
      </c>
      <c r="S134">
        <f t="shared" si="17"/>
        <v>0</v>
      </c>
    </row>
    <row r="135" spans="1:19" x14ac:dyDescent="0.25">
      <c r="A135" s="3">
        <v>134</v>
      </c>
      <c r="B135" s="27">
        <v>1026757</v>
      </c>
      <c r="C135" s="3">
        <v>58</v>
      </c>
      <c r="D135" s="3" t="s">
        <v>46</v>
      </c>
      <c r="E135" s="15">
        <v>45838</v>
      </c>
      <c r="F135" s="15">
        <v>45838</v>
      </c>
      <c r="G135" s="3" t="s">
        <v>9</v>
      </c>
      <c r="H135" s="3" t="s">
        <v>22</v>
      </c>
      <c r="I135" s="3">
        <v>0</v>
      </c>
      <c r="J135" s="3">
        <v>1</v>
      </c>
      <c r="K135" s="3">
        <v>1</v>
      </c>
      <c r="L135" s="3">
        <v>1</v>
      </c>
      <c r="M135" s="3">
        <v>240</v>
      </c>
      <c r="N135" s="3">
        <v>6</v>
      </c>
      <c r="O135" s="7">
        <f t="shared" si="18"/>
        <v>4.8970004336018889</v>
      </c>
      <c r="P135" s="8">
        <f t="shared" si="19"/>
        <v>85</v>
      </c>
      <c r="Q135" s="8">
        <f t="shared" si="16"/>
        <v>80.102999566398111</v>
      </c>
      <c r="S135">
        <f t="shared" si="17"/>
        <v>0</v>
      </c>
    </row>
    <row r="136" spans="1:19" x14ac:dyDescent="0.25">
      <c r="A136" s="3">
        <v>135</v>
      </c>
      <c r="B136" s="27">
        <v>423871</v>
      </c>
      <c r="C136" s="3">
        <v>50</v>
      </c>
      <c r="D136" s="3" t="s">
        <v>47</v>
      </c>
      <c r="E136" s="15">
        <v>45430</v>
      </c>
      <c r="F136" s="6">
        <v>45863</v>
      </c>
      <c r="G136" s="3" t="s">
        <v>9</v>
      </c>
      <c r="H136" s="3" t="s">
        <v>18</v>
      </c>
      <c r="I136" s="3">
        <v>0</v>
      </c>
      <c r="J136" s="3">
        <v>1</v>
      </c>
      <c r="K136" s="3">
        <v>1</v>
      </c>
      <c r="L136" s="3">
        <v>11</v>
      </c>
      <c r="M136" s="3">
        <v>12</v>
      </c>
      <c r="N136" s="3">
        <v>18</v>
      </c>
      <c r="O136" s="7">
        <f t="shared" si="18"/>
        <v>69.948500216800937</v>
      </c>
      <c r="P136" s="8">
        <f t="shared" si="19"/>
        <v>61.143937264016877</v>
      </c>
      <c r="Q136" s="8">
        <f t="shared" si="16"/>
        <v>-8.8045629527840603</v>
      </c>
      <c r="R136" t="s">
        <v>89</v>
      </c>
      <c r="S136">
        <f t="shared" si="17"/>
        <v>1</v>
      </c>
    </row>
    <row r="137" spans="1:19" x14ac:dyDescent="0.25">
      <c r="A137" s="3">
        <v>136</v>
      </c>
      <c r="B137" s="27">
        <v>1025316</v>
      </c>
      <c r="C137" s="14">
        <v>56</v>
      </c>
      <c r="D137" s="3" t="s">
        <v>46</v>
      </c>
      <c r="E137" s="15">
        <v>45831</v>
      </c>
      <c r="F137" s="6">
        <v>46022</v>
      </c>
      <c r="G137" s="3" t="s">
        <v>9</v>
      </c>
      <c r="H137" s="3" t="s">
        <v>18</v>
      </c>
      <c r="I137" s="3">
        <v>0</v>
      </c>
      <c r="J137" s="3">
        <v>1</v>
      </c>
      <c r="K137" s="3">
        <v>1</v>
      </c>
      <c r="L137" s="3">
        <v>12</v>
      </c>
      <c r="M137" s="3">
        <v>9</v>
      </c>
      <c r="N137" s="3">
        <v>9</v>
      </c>
      <c r="O137" s="7">
        <f t="shared" si="18"/>
        <v>76.195437047215933</v>
      </c>
      <c r="P137" s="8">
        <f t="shared" si="19"/>
        <v>76.195437047215933</v>
      </c>
      <c r="Q137" s="8">
        <f t="shared" si="16"/>
        <v>0</v>
      </c>
      <c r="S137">
        <f t="shared" si="17"/>
        <v>0</v>
      </c>
    </row>
    <row r="138" spans="1:19" x14ac:dyDescent="0.25">
      <c r="A138" s="3">
        <v>137</v>
      </c>
      <c r="B138" s="27">
        <v>1048464</v>
      </c>
      <c r="C138" s="14">
        <v>59</v>
      </c>
      <c r="D138" s="3" t="s">
        <v>47</v>
      </c>
      <c r="E138" s="15">
        <v>45848</v>
      </c>
      <c r="F138" s="6">
        <v>45983</v>
      </c>
      <c r="G138" s="3" t="s">
        <v>9</v>
      </c>
      <c r="H138" s="3" t="s">
        <v>22</v>
      </c>
      <c r="I138" s="3">
        <v>0</v>
      </c>
      <c r="J138" s="3">
        <v>1</v>
      </c>
      <c r="K138" s="3">
        <v>1</v>
      </c>
      <c r="L138" s="3">
        <v>14</v>
      </c>
      <c r="M138" s="3">
        <v>240</v>
      </c>
      <c r="N138" s="3">
        <v>12</v>
      </c>
      <c r="O138" s="7">
        <f t="shared" si="18"/>
        <v>4.8970004336018889</v>
      </c>
      <c r="P138" s="8">
        <f t="shared" si="19"/>
        <v>69.948500216800937</v>
      </c>
      <c r="Q138" s="8">
        <f t="shared" si="16"/>
        <v>65.051499783199048</v>
      </c>
      <c r="S138">
        <f t="shared" si="17"/>
        <v>0</v>
      </c>
    </row>
    <row r="139" spans="1:19" x14ac:dyDescent="0.25">
      <c r="A139" s="3">
        <v>138</v>
      </c>
      <c r="B139" s="27" t="s">
        <v>60</v>
      </c>
      <c r="C139" s="14">
        <v>59</v>
      </c>
      <c r="D139" s="3" t="s">
        <v>46</v>
      </c>
      <c r="E139" s="15">
        <v>45829</v>
      </c>
      <c r="F139" s="6">
        <v>45857</v>
      </c>
      <c r="G139" s="3" t="s">
        <v>9</v>
      </c>
      <c r="H139" s="3" t="s">
        <v>18</v>
      </c>
      <c r="I139" s="3">
        <v>0</v>
      </c>
      <c r="J139" s="3">
        <v>1</v>
      </c>
      <c r="K139" s="3">
        <v>1</v>
      </c>
      <c r="L139" s="3">
        <v>4</v>
      </c>
      <c r="M139" s="3">
        <v>24</v>
      </c>
      <c r="N139" s="3">
        <v>24</v>
      </c>
      <c r="O139" s="7">
        <f t="shared" si="18"/>
        <v>54.897000433601882</v>
      </c>
      <c r="P139" s="8">
        <f t="shared" si="19"/>
        <v>54.897000433601882</v>
      </c>
      <c r="Q139" s="8">
        <f t="shared" si="16"/>
        <v>0</v>
      </c>
      <c r="S139">
        <f t="shared" si="17"/>
        <v>0</v>
      </c>
    </row>
    <row r="140" spans="1:19" x14ac:dyDescent="0.25">
      <c r="A140" s="3">
        <v>139</v>
      </c>
      <c r="B140" s="27">
        <v>1048836</v>
      </c>
      <c r="C140" s="14">
        <v>43</v>
      </c>
      <c r="D140" s="3" t="s">
        <v>46</v>
      </c>
      <c r="E140" s="15">
        <v>45857</v>
      </c>
      <c r="F140" s="6">
        <v>45922</v>
      </c>
      <c r="G140" s="3" t="s">
        <v>9</v>
      </c>
      <c r="H140" s="3" t="s">
        <v>22</v>
      </c>
      <c r="I140" s="3">
        <v>0</v>
      </c>
      <c r="J140" s="3">
        <v>2</v>
      </c>
      <c r="K140" s="3">
        <v>2</v>
      </c>
      <c r="L140" s="3">
        <v>5</v>
      </c>
      <c r="M140" s="3">
        <v>12</v>
      </c>
      <c r="N140" s="3">
        <v>6</v>
      </c>
      <c r="O140" s="7">
        <f t="shared" si="18"/>
        <v>69.948500216800937</v>
      </c>
      <c r="P140" s="8">
        <f t="shared" si="19"/>
        <v>85</v>
      </c>
      <c r="Q140" s="8">
        <f t="shared" si="16"/>
        <v>15.051499783199063</v>
      </c>
      <c r="S140">
        <f t="shared" si="17"/>
        <v>0</v>
      </c>
    </row>
    <row r="141" spans="1:19" x14ac:dyDescent="0.25">
      <c r="A141" s="3">
        <v>140</v>
      </c>
      <c r="B141" s="27">
        <v>1046468</v>
      </c>
      <c r="C141" s="14">
        <v>65</v>
      </c>
      <c r="D141" s="3" t="s">
        <v>46</v>
      </c>
      <c r="E141" s="15">
        <v>45862</v>
      </c>
      <c r="F141" s="15">
        <v>45862</v>
      </c>
      <c r="G141" s="3" t="s">
        <v>9</v>
      </c>
      <c r="H141" s="3" t="s">
        <v>22</v>
      </c>
      <c r="I141" s="3">
        <v>0</v>
      </c>
      <c r="J141" s="3">
        <v>1</v>
      </c>
      <c r="K141" s="3">
        <v>1</v>
      </c>
      <c r="L141" s="3">
        <v>1</v>
      </c>
      <c r="M141" s="3">
        <v>12</v>
      </c>
      <c r="N141" s="3">
        <v>18</v>
      </c>
      <c r="O141" s="7">
        <f t="shared" si="18"/>
        <v>69.948500216800937</v>
      </c>
      <c r="P141" s="16">
        <f t="shared" si="19"/>
        <v>61.143937264016877</v>
      </c>
      <c r="Q141" s="8">
        <f t="shared" si="16"/>
        <v>-8.8045629527840603</v>
      </c>
      <c r="R141" t="s">
        <v>89</v>
      </c>
      <c r="S141">
        <f t="shared" si="17"/>
        <v>1</v>
      </c>
    </row>
    <row r="142" spans="1:19" x14ac:dyDescent="0.25">
      <c r="A142" s="3">
        <v>141</v>
      </c>
      <c r="B142" s="27">
        <v>150672</v>
      </c>
      <c r="C142" s="14">
        <v>47</v>
      </c>
      <c r="D142" s="3" t="s">
        <v>46</v>
      </c>
      <c r="E142" s="15">
        <v>45862</v>
      </c>
      <c r="F142" s="6">
        <v>45866</v>
      </c>
      <c r="G142" s="3" t="s">
        <v>9</v>
      </c>
      <c r="H142" s="3" t="s">
        <v>18</v>
      </c>
      <c r="I142" s="3">
        <v>0</v>
      </c>
      <c r="J142" s="3">
        <v>2</v>
      </c>
      <c r="K142" s="3">
        <v>2</v>
      </c>
      <c r="L142" s="3">
        <v>3</v>
      </c>
      <c r="M142" s="3" t="s">
        <v>39</v>
      </c>
      <c r="N142" s="3">
        <v>60</v>
      </c>
      <c r="O142" s="7">
        <v>0</v>
      </c>
      <c r="P142" s="17">
        <f>85+50*LOG10(6/N142)</f>
        <v>35</v>
      </c>
      <c r="Q142" s="8">
        <f t="shared" si="16"/>
        <v>35</v>
      </c>
      <c r="S142">
        <f t="shared" si="17"/>
        <v>0</v>
      </c>
    </row>
    <row r="143" spans="1:19" x14ac:dyDescent="0.25">
      <c r="A143" s="3">
        <v>142</v>
      </c>
      <c r="B143" s="27">
        <v>906791</v>
      </c>
      <c r="C143" s="14">
        <v>57</v>
      </c>
      <c r="D143" s="3" t="s">
        <v>46</v>
      </c>
      <c r="E143" s="15">
        <v>45854</v>
      </c>
      <c r="F143" s="6">
        <v>45875</v>
      </c>
      <c r="G143" s="3" t="s">
        <v>9</v>
      </c>
      <c r="H143" s="3" t="s">
        <v>22</v>
      </c>
      <c r="I143" s="3">
        <v>0</v>
      </c>
      <c r="J143" s="3">
        <v>1</v>
      </c>
      <c r="K143" s="3">
        <v>1</v>
      </c>
      <c r="L143" s="3">
        <v>6</v>
      </c>
      <c r="M143" s="3">
        <v>180</v>
      </c>
      <c r="N143" s="3" t="s">
        <v>23</v>
      </c>
      <c r="O143" s="7">
        <f>85+50*LOG10(6/M143)</f>
        <v>11.143937264016884</v>
      </c>
      <c r="P143" s="17">
        <v>0</v>
      </c>
      <c r="Q143" s="8">
        <f t="shared" si="16"/>
        <v>-11.143937264016884</v>
      </c>
      <c r="R143" t="s">
        <v>89</v>
      </c>
      <c r="S143">
        <f t="shared" si="17"/>
        <v>1</v>
      </c>
    </row>
    <row r="144" spans="1:19" x14ac:dyDescent="0.25">
      <c r="A144" s="3">
        <v>143</v>
      </c>
      <c r="B144" s="27">
        <v>1042839</v>
      </c>
      <c r="C144" s="3">
        <v>53</v>
      </c>
      <c r="D144" s="3" t="s">
        <v>46</v>
      </c>
      <c r="E144" s="15">
        <v>45692</v>
      </c>
      <c r="F144" s="6">
        <v>45881</v>
      </c>
      <c r="G144" s="3" t="s">
        <v>9</v>
      </c>
      <c r="H144" s="3" t="s">
        <v>18</v>
      </c>
      <c r="I144" s="3">
        <v>0</v>
      </c>
      <c r="J144" s="3">
        <v>1</v>
      </c>
      <c r="K144" s="3">
        <v>1</v>
      </c>
      <c r="L144" s="3">
        <v>10</v>
      </c>
      <c r="M144" s="3">
        <v>12</v>
      </c>
      <c r="N144" s="3">
        <v>12</v>
      </c>
      <c r="O144" s="7">
        <f>85+50*LOG10(6/M144)</f>
        <v>69.948500216800937</v>
      </c>
      <c r="P144" s="16">
        <f t="shared" ref="P144:P178" si="20">85+50*LOG10(6/N144)</f>
        <v>69.948500216800937</v>
      </c>
      <c r="Q144" s="8">
        <f t="shared" si="16"/>
        <v>0</v>
      </c>
      <c r="S144">
        <f t="shared" si="17"/>
        <v>0</v>
      </c>
    </row>
    <row r="145" spans="1:19" x14ac:dyDescent="0.25">
      <c r="A145" s="3">
        <v>144</v>
      </c>
      <c r="B145" s="27">
        <v>148442</v>
      </c>
      <c r="C145" s="3">
        <v>68</v>
      </c>
      <c r="D145" s="3" t="s">
        <v>46</v>
      </c>
      <c r="E145" s="15">
        <v>45882</v>
      </c>
      <c r="F145" s="6">
        <v>45944</v>
      </c>
      <c r="G145" s="3" t="s">
        <v>9</v>
      </c>
      <c r="H145" s="3" t="s">
        <v>22</v>
      </c>
      <c r="I145" s="3">
        <v>0</v>
      </c>
      <c r="J145" s="3">
        <v>1</v>
      </c>
      <c r="K145" s="3">
        <v>1</v>
      </c>
      <c r="L145" s="3">
        <v>3</v>
      </c>
      <c r="M145" s="3" t="s">
        <v>39</v>
      </c>
      <c r="N145" s="3">
        <v>18</v>
      </c>
      <c r="O145" s="7">
        <v>0</v>
      </c>
      <c r="P145" s="16">
        <f t="shared" si="20"/>
        <v>61.143937264016877</v>
      </c>
      <c r="Q145" s="8">
        <f t="shared" si="16"/>
        <v>61.143937264016877</v>
      </c>
      <c r="S145">
        <f t="shared" si="17"/>
        <v>0</v>
      </c>
    </row>
    <row r="146" spans="1:19" x14ac:dyDescent="0.25">
      <c r="A146" s="3">
        <v>145</v>
      </c>
      <c r="B146" s="27">
        <v>1050024</v>
      </c>
      <c r="C146" s="3">
        <v>60</v>
      </c>
      <c r="D146" s="3" t="s">
        <v>47</v>
      </c>
      <c r="E146" s="15">
        <v>45892</v>
      </c>
      <c r="F146" s="6">
        <v>45927</v>
      </c>
      <c r="G146" s="3" t="s">
        <v>9</v>
      </c>
      <c r="H146" s="3" t="s">
        <v>18</v>
      </c>
      <c r="I146" s="3">
        <v>0</v>
      </c>
      <c r="J146" s="3">
        <v>2</v>
      </c>
      <c r="K146" s="3">
        <v>2</v>
      </c>
      <c r="L146" s="3">
        <v>3</v>
      </c>
      <c r="M146" s="3">
        <v>24</v>
      </c>
      <c r="N146" s="3">
        <v>12</v>
      </c>
      <c r="O146" s="7">
        <f>85+50*LOG10(6/M146)</f>
        <v>54.897000433601882</v>
      </c>
      <c r="P146" s="16">
        <f t="shared" si="20"/>
        <v>69.948500216800937</v>
      </c>
      <c r="Q146" s="8">
        <f t="shared" si="16"/>
        <v>15.051499783199056</v>
      </c>
      <c r="S146">
        <f t="shared" si="17"/>
        <v>0</v>
      </c>
    </row>
    <row r="147" spans="1:19" x14ac:dyDescent="0.25">
      <c r="A147" s="3">
        <v>146</v>
      </c>
      <c r="B147" s="27">
        <v>1050024</v>
      </c>
      <c r="C147" s="3">
        <v>60</v>
      </c>
      <c r="D147" s="3" t="s">
        <v>47</v>
      </c>
      <c r="E147" s="15">
        <v>45892</v>
      </c>
      <c r="F147" s="6">
        <v>45927</v>
      </c>
      <c r="G147" s="3" t="s">
        <v>9</v>
      </c>
      <c r="H147" s="3" t="s">
        <v>22</v>
      </c>
      <c r="I147" s="3">
        <v>0</v>
      </c>
      <c r="J147" s="3">
        <v>1</v>
      </c>
      <c r="K147" s="3">
        <v>1</v>
      </c>
      <c r="L147" s="3">
        <v>3</v>
      </c>
      <c r="M147" s="3">
        <v>24</v>
      </c>
      <c r="N147" s="3">
        <v>18</v>
      </c>
      <c r="O147" s="7">
        <f>85+50*LOG10(6/M147)</f>
        <v>54.897000433601882</v>
      </c>
      <c r="P147" s="16">
        <f t="shared" si="20"/>
        <v>61.143937264016877</v>
      </c>
      <c r="Q147" s="8">
        <f t="shared" si="16"/>
        <v>6.2469368304149953</v>
      </c>
      <c r="S147">
        <f t="shared" si="17"/>
        <v>0</v>
      </c>
    </row>
    <row r="148" spans="1:19" x14ac:dyDescent="0.25">
      <c r="A148" s="3">
        <v>147</v>
      </c>
      <c r="B148" s="27">
        <v>4008293</v>
      </c>
      <c r="C148" s="3">
        <v>24</v>
      </c>
      <c r="D148" s="3" t="s">
        <v>47</v>
      </c>
      <c r="E148" s="15">
        <v>45895</v>
      </c>
      <c r="F148" s="6">
        <v>45899</v>
      </c>
      <c r="G148" s="3" t="s">
        <v>9</v>
      </c>
      <c r="H148" s="3" t="s">
        <v>22</v>
      </c>
      <c r="I148" s="3">
        <v>0</v>
      </c>
      <c r="J148" s="3">
        <v>1</v>
      </c>
      <c r="K148" s="3">
        <v>1</v>
      </c>
      <c r="L148" s="3">
        <v>2</v>
      </c>
      <c r="M148" s="3" t="s">
        <v>23</v>
      </c>
      <c r="N148" s="3">
        <v>18</v>
      </c>
      <c r="O148" s="7">
        <v>0</v>
      </c>
      <c r="P148" s="16">
        <f t="shared" si="20"/>
        <v>61.143937264016877</v>
      </c>
      <c r="Q148" s="8">
        <f t="shared" si="16"/>
        <v>61.143937264016877</v>
      </c>
      <c r="S148">
        <f t="shared" si="17"/>
        <v>0</v>
      </c>
    </row>
    <row r="149" spans="1:19" x14ac:dyDescent="0.25">
      <c r="A149" s="3">
        <v>148</v>
      </c>
      <c r="B149" s="27">
        <v>1050542</v>
      </c>
      <c r="C149" s="3">
        <v>77</v>
      </c>
      <c r="D149" s="3" t="s">
        <v>46</v>
      </c>
      <c r="E149" s="15">
        <v>45903</v>
      </c>
      <c r="F149" s="6">
        <v>46008</v>
      </c>
      <c r="G149" s="3" t="s">
        <v>9</v>
      </c>
      <c r="H149" s="3" t="s">
        <v>18</v>
      </c>
      <c r="I149" s="3">
        <v>0</v>
      </c>
      <c r="J149" s="3">
        <v>1</v>
      </c>
      <c r="K149" s="3">
        <v>1</v>
      </c>
      <c r="L149" s="3">
        <v>9</v>
      </c>
      <c r="M149" s="3">
        <v>18</v>
      </c>
      <c r="N149" s="3">
        <v>18</v>
      </c>
      <c r="O149" s="7">
        <f t="shared" ref="O149:O178" si="21">85+50*LOG10(6/M149)</f>
        <v>61.143937264016877</v>
      </c>
      <c r="P149" s="16">
        <f t="shared" si="20"/>
        <v>61.143937264016877</v>
      </c>
      <c r="Q149" s="8">
        <f t="shared" si="16"/>
        <v>0</v>
      </c>
      <c r="S149">
        <f t="shared" si="17"/>
        <v>0</v>
      </c>
    </row>
    <row r="150" spans="1:19" x14ac:dyDescent="0.25">
      <c r="A150" s="3">
        <v>149</v>
      </c>
      <c r="B150" s="27">
        <v>1045085</v>
      </c>
      <c r="C150" s="3">
        <v>53</v>
      </c>
      <c r="D150" s="3" t="s">
        <v>47</v>
      </c>
      <c r="E150" s="15">
        <v>45906</v>
      </c>
      <c r="F150" s="6">
        <v>45908</v>
      </c>
      <c r="G150" s="3" t="s">
        <v>9</v>
      </c>
      <c r="H150" s="3" t="s">
        <v>18</v>
      </c>
      <c r="I150" s="3">
        <v>0</v>
      </c>
      <c r="J150" s="3">
        <v>1</v>
      </c>
      <c r="K150" s="3">
        <v>1</v>
      </c>
      <c r="L150" s="3">
        <v>3</v>
      </c>
      <c r="M150" s="3">
        <v>18</v>
      </c>
      <c r="N150" s="3">
        <v>18</v>
      </c>
      <c r="O150" s="7">
        <f t="shared" si="21"/>
        <v>61.143937264016877</v>
      </c>
      <c r="P150" s="16">
        <f t="shared" si="20"/>
        <v>61.143937264016877</v>
      </c>
      <c r="Q150" s="8">
        <f t="shared" si="16"/>
        <v>0</v>
      </c>
      <c r="S150">
        <f t="shared" si="17"/>
        <v>0</v>
      </c>
    </row>
    <row r="151" spans="1:19" x14ac:dyDescent="0.25">
      <c r="A151" s="3">
        <v>150</v>
      </c>
      <c r="B151" s="27">
        <v>1045085</v>
      </c>
      <c r="C151" s="3">
        <v>53</v>
      </c>
      <c r="D151" s="3" t="s">
        <v>47</v>
      </c>
      <c r="E151" s="15">
        <v>45906</v>
      </c>
      <c r="F151" s="6">
        <v>45908</v>
      </c>
      <c r="G151" s="3" t="s">
        <v>9</v>
      </c>
      <c r="H151" s="3" t="s">
        <v>22</v>
      </c>
      <c r="I151" s="3">
        <v>0</v>
      </c>
      <c r="J151" s="3">
        <v>1</v>
      </c>
      <c r="K151" s="3">
        <v>1</v>
      </c>
      <c r="L151" s="3">
        <v>3</v>
      </c>
      <c r="M151" s="3">
        <v>180</v>
      </c>
      <c r="N151" s="3">
        <v>180</v>
      </c>
      <c r="O151" s="7">
        <f t="shared" si="21"/>
        <v>11.143937264016884</v>
      </c>
      <c r="P151" s="16">
        <f t="shared" si="20"/>
        <v>11.143937264016884</v>
      </c>
      <c r="Q151" s="8">
        <f t="shared" si="16"/>
        <v>0</v>
      </c>
      <c r="S151">
        <f t="shared" si="17"/>
        <v>0</v>
      </c>
    </row>
    <row r="152" spans="1:19" x14ac:dyDescent="0.25">
      <c r="A152" s="3">
        <v>151</v>
      </c>
      <c r="B152" s="27">
        <v>813337</v>
      </c>
      <c r="C152" s="3">
        <v>49</v>
      </c>
      <c r="D152" s="3" t="s">
        <v>46</v>
      </c>
      <c r="E152" s="15">
        <v>45906</v>
      </c>
      <c r="F152" s="15">
        <v>45906</v>
      </c>
      <c r="G152" s="3" t="s">
        <v>9</v>
      </c>
      <c r="H152" s="3" t="s">
        <v>18</v>
      </c>
      <c r="I152" s="3">
        <v>0</v>
      </c>
      <c r="J152" s="3">
        <v>1</v>
      </c>
      <c r="K152" s="3">
        <v>1</v>
      </c>
      <c r="L152" s="3">
        <v>1</v>
      </c>
      <c r="M152" s="3">
        <v>12</v>
      </c>
      <c r="N152" s="3">
        <v>12</v>
      </c>
      <c r="O152" s="7">
        <f t="shared" si="21"/>
        <v>69.948500216800937</v>
      </c>
      <c r="P152" s="16">
        <f t="shared" si="20"/>
        <v>69.948500216800937</v>
      </c>
      <c r="Q152" s="8">
        <f t="shared" si="16"/>
        <v>0</v>
      </c>
      <c r="S152">
        <f t="shared" si="17"/>
        <v>0</v>
      </c>
    </row>
    <row r="153" spans="1:19" x14ac:dyDescent="0.25">
      <c r="A153" s="3">
        <v>152</v>
      </c>
      <c r="B153" s="27" t="s">
        <v>65</v>
      </c>
      <c r="C153" s="3">
        <v>63</v>
      </c>
      <c r="D153" s="3" t="s">
        <v>46</v>
      </c>
      <c r="E153" s="15">
        <v>45889</v>
      </c>
      <c r="F153" s="6">
        <v>45911</v>
      </c>
      <c r="G153" s="3" t="s">
        <v>9</v>
      </c>
      <c r="H153" s="3" t="s">
        <v>22</v>
      </c>
      <c r="I153" s="3">
        <v>0</v>
      </c>
      <c r="J153" s="3">
        <v>1</v>
      </c>
      <c r="K153" s="3">
        <v>1</v>
      </c>
      <c r="L153" s="3">
        <v>2</v>
      </c>
      <c r="M153" s="3">
        <v>7.5</v>
      </c>
      <c r="N153" s="3">
        <v>7.5</v>
      </c>
      <c r="O153" s="7">
        <f t="shared" si="21"/>
        <v>80.154499349597174</v>
      </c>
      <c r="P153" s="16">
        <f t="shared" si="20"/>
        <v>80.154499349597174</v>
      </c>
      <c r="Q153" s="8">
        <f t="shared" si="16"/>
        <v>0</v>
      </c>
      <c r="S153">
        <f t="shared" si="17"/>
        <v>0</v>
      </c>
    </row>
    <row r="154" spans="1:19" x14ac:dyDescent="0.25">
      <c r="A154" s="3">
        <v>153</v>
      </c>
      <c r="B154" s="27">
        <v>151669</v>
      </c>
      <c r="C154" s="3">
        <v>54</v>
      </c>
      <c r="D154" s="3" t="s">
        <v>47</v>
      </c>
      <c r="E154" s="15">
        <v>45895</v>
      </c>
      <c r="F154" s="6">
        <v>46035</v>
      </c>
      <c r="G154" s="3" t="s">
        <v>9</v>
      </c>
      <c r="H154" s="3" t="s">
        <v>18</v>
      </c>
      <c r="I154" s="3">
        <v>0</v>
      </c>
      <c r="J154" s="3">
        <v>2</v>
      </c>
      <c r="K154" s="3">
        <v>2</v>
      </c>
      <c r="L154" s="3">
        <v>11</v>
      </c>
      <c r="M154" s="3" t="s">
        <v>39</v>
      </c>
      <c r="N154" s="3">
        <v>6</v>
      </c>
      <c r="O154" s="7">
        <v>0</v>
      </c>
      <c r="P154" s="16">
        <f t="shared" si="20"/>
        <v>85</v>
      </c>
      <c r="Q154" s="8">
        <f t="shared" si="16"/>
        <v>85</v>
      </c>
      <c r="S154">
        <f t="shared" si="17"/>
        <v>0</v>
      </c>
    </row>
    <row r="155" spans="1:19" x14ac:dyDescent="0.25">
      <c r="A155" s="3">
        <v>154</v>
      </c>
      <c r="B155" s="27">
        <v>1008946</v>
      </c>
      <c r="C155" s="3">
        <v>68</v>
      </c>
      <c r="D155" s="3" t="s">
        <v>46</v>
      </c>
      <c r="E155" s="15">
        <v>45892</v>
      </c>
      <c r="F155" s="6">
        <v>45936</v>
      </c>
      <c r="G155" s="3" t="s">
        <v>9</v>
      </c>
      <c r="H155" s="3" t="s">
        <v>18</v>
      </c>
      <c r="I155" s="3">
        <v>0</v>
      </c>
      <c r="J155" s="3">
        <v>1</v>
      </c>
      <c r="K155" s="3">
        <v>1</v>
      </c>
      <c r="L155" s="3">
        <v>7</v>
      </c>
      <c r="M155" s="3">
        <v>180</v>
      </c>
      <c r="N155" s="3">
        <v>6</v>
      </c>
      <c r="O155" s="7">
        <f t="shared" si="21"/>
        <v>11.143937264016884</v>
      </c>
      <c r="P155" s="16">
        <f t="shared" si="20"/>
        <v>85</v>
      </c>
      <c r="Q155" s="8">
        <f t="shared" si="16"/>
        <v>73.856062735983116</v>
      </c>
      <c r="S155">
        <f t="shared" si="17"/>
        <v>0</v>
      </c>
    </row>
    <row r="156" spans="1:19" x14ac:dyDescent="0.25">
      <c r="A156" s="3">
        <v>155</v>
      </c>
      <c r="B156" s="27" t="s">
        <v>66</v>
      </c>
      <c r="C156" s="3">
        <v>75</v>
      </c>
      <c r="D156" s="3" t="s">
        <v>46</v>
      </c>
      <c r="E156" s="15">
        <v>45925</v>
      </c>
      <c r="F156" s="6">
        <v>46006</v>
      </c>
      <c r="G156" s="3" t="s">
        <v>9</v>
      </c>
      <c r="H156" s="3" t="s">
        <v>22</v>
      </c>
      <c r="I156" s="3">
        <v>0</v>
      </c>
      <c r="J156" s="3">
        <v>1</v>
      </c>
      <c r="K156" s="3">
        <v>1</v>
      </c>
      <c r="L156" s="3">
        <v>12</v>
      </c>
      <c r="M156" s="3">
        <v>36</v>
      </c>
      <c r="N156" s="3">
        <v>6</v>
      </c>
      <c r="O156" s="7">
        <f t="shared" si="21"/>
        <v>46.092437480817821</v>
      </c>
      <c r="P156" s="16">
        <f t="shared" si="20"/>
        <v>85</v>
      </c>
      <c r="Q156" s="8">
        <f t="shared" ref="Q156:Q178" si="22">P156-O156</f>
        <v>38.907562519182179</v>
      </c>
      <c r="S156">
        <f t="shared" si="17"/>
        <v>0</v>
      </c>
    </row>
    <row r="157" spans="1:19" x14ac:dyDescent="0.25">
      <c r="A157" s="3">
        <v>156</v>
      </c>
      <c r="B157" s="27">
        <v>1035643</v>
      </c>
      <c r="C157" s="3">
        <v>71</v>
      </c>
      <c r="D157" s="3" t="s">
        <v>46</v>
      </c>
      <c r="E157" s="15">
        <v>45486</v>
      </c>
      <c r="F157" s="6">
        <v>45955</v>
      </c>
      <c r="G157" s="3" t="s">
        <v>9</v>
      </c>
      <c r="H157" s="3" t="s">
        <v>18</v>
      </c>
      <c r="I157" s="3">
        <v>0</v>
      </c>
      <c r="J157" s="3">
        <v>1</v>
      </c>
      <c r="K157" s="3">
        <v>1</v>
      </c>
      <c r="L157" s="3">
        <v>10</v>
      </c>
      <c r="M157" s="3">
        <v>24</v>
      </c>
      <c r="N157" s="3">
        <v>6</v>
      </c>
      <c r="O157" s="7">
        <f t="shared" si="21"/>
        <v>54.897000433601882</v>
      </c>
      <c r="P157" s="16">
        <f t="shared" si="20"/>
        <v>85</v>
      </c>
      <c r="Q157" s="8">
        <f t="shared" si="22"/>
        <v>30.102999566398118</v>
      </c>
      <c r="S157">
        <f t="shared" si="17"/>
        <v>0</v>
      </c>
    </row>
    <row r="158" spans="1:19" x14ac:dyDescent="0.25">
      <c r="A158" s="3">
        <v>157</v>
      </c>
      <c r="B158" s="27">
        <v>3087977</v>
      </c>
      <c r="C158" s="3">
        <v>58</v>
      </c>
      <c r="D158" s="3" t="s">
        <v>47</v>
      </c>
      <c r="E158" s="15">
        <v>45912</v>
      </c>
      <c r="F158" s="6">
        <v>45988</v>
      </c>
      <c r="G158" s="3" t="s">
        <v>9</v>
      </c>
      <c r="H158" s="3" t="s">
        <v>18</v>
      </c>
      <c r="I158" s="3">
        <v>0</v>
      </c>
      <c r="J158" s="3">
        <v>1</v>
      </c>
      <c r="K158" s="3">
        <v>1</v>
      </c>
      <c r="L158" s="3">
        <v>9</v>
      </c>
      <c r="M158" s="3">
        <v>180</v>
      </c>
      <c r="N158" s="3">
        <v>6</v>
      </c>
      <c r="O158" s="7">
        <f t="shared" si="21"/>
        <v>11.143937264016884</v>
      </c>
      <c r="P158" s="16">
        <f t="shared" si="20"/>
        <v>85</v>
      </c>
      <c r="Q158" s="8">
        <f t="shared" si="22"/>
        <v>73.856062735983116</v>
      </c>
      <c r="S158">
        <f t="shared" si="17"/>
        <v>0</v>
      </c>
    </row>
    <row r="159" spans="1:19" x14ac:dyDescent="0.25">
      <c r="A159" s="3">
        <v>158</v>
      </c>
      <c r="B159" s="28">
        <v>1051247</v>
      </c>
      <c r="C159" s="3">
        <v>66</v>
      </c>
      <c r="D159" s="3" t="s">
        <v>47</v>
      </c>
      <c r="E159" s="15">
        <v>45925</v>
      </c>
      <c r="F159" s="6">
        <v>45967</v>
      </c>
      <c r="G159" s="3" t="s">
        <v>9</v>
      </c>
      <c r="H159" s="3" t="s">
        <v>18</v>
      </c>
      <c r="I159" s="3">
        <v>0</v>
      </c>
      <c r="J159" s="3">
        <v>1</v>
      </c>
      <c r="K159" s="3">
        <v>1</v>
      </c>
      <c r="L159" s="3">
        <v>9</v>
      </c>
      <c r="M159" s="3">
        <v>36</v>
      </c>
      <c r="N159" s="3">
        <v>24</v>
      </c>
      <c r="O159" s="7">
        <f t="shared" si="21"/>
        <v>46.092437480817821</v>
      </c>
      <c r="P159" s="16">
        <f t="shared" si="20"/>
        <v>54.897000433601882</v>
      </c>
      <c r="Q159" s="8">
        <f t="shared" si="22"/>
        <v>8.8045629527840603</v>
      </c>
      <c r="S159">
        <f t="shared" si="17"/>
        <v>0</v>
      </c>
    </row>
    <row r="160" spans="1:19" x14ac:dyDescent="0.25">
      <c r="A160" s="3">
        <v>159</v>
      </c>
      <c r="B160" s="27">
        <v>1051247</v>
      </c>
      <c r="C160" s="3">
        <v>66</v>
      </c>
      <c r="D160" s="3" t="s">
        <v>47</v>
      </c>
      <c r="E160" s="15">
        <v>45925</v>
      </c>
      <c r="F160" s="6">
        <v>45967</v>
      </c>
      <c r="G160" s="3" t="s">
        <v>9</v>
      </c>
      <c r="H160" s="3" t="s">
        <v>22</v>
      </c>
      <c r="I160" s="3">
        <v>0</v>
      </c>
      <c r="J160" s="3">
        <v>1</v>
      </c>
      <c r="K160" s="3">
        <v>1</v>
      </c>
      <c r="L160" s="3">
        <v>9</v>
      </c>
      <c r="M160" s="3">
        <v>12</v>
      </c>
      <c r="N160" s="3">
        <v>12</v>
      </c>
      <c r="O160" s="7">
        <f t="shared" si="21"/>
        <v>69.948500216800937</v>
      </c>
      <c r="P160" s="16">
        <f t="shared" si="20"/>
        <v>69.948500216800937</v>
      </c>
      <c r="Q160" s="8">
        <f t="shared" si="22"/>
        <v>0</v>
      </c>
      <c r="S160">
        <f t="shared" si="17"/>
        <v>0</v>
      </c>
    </row>
    <row r="161" spans="1:19" x14ac:dyDescent="0.25">
      <c r="A161" s="3">
        <v>160</v>
      </c>
      <c r="B161" s="27">
        <v>3083736</v>
      </c>
      <c r="C161" s="3">
        <v>67</v>
      </c>
      <c r="D161" s="3" t="s">
        <v>46</v>
      </c>
      <c r="E161" s="15">
        <v>45917</v>
      </c>
      <c r="F161" s="6">
        <v>45967</v>
      </c>
      <c r="G161" s="3" t="s">
        <v>9</v>
      </c>
      <c r="H161" s="3" t="s">
        <v>18</v>
      </c>
      <c r="I161" s="3">
        <v>0</v>
      </c>
      <c r="J161" s="3">
        <v>1</v>
      </c>
      <c r="K161" s="3">
        <v>1</v>
      </c>
      <c r="L161" s="3">
        <v>5</v>
      </c>
      <c r="M161" s="3">
        <v>60</v>
      </c>
      <c r="N161" s="3">
        <v>24</v>
      </c>
      <c r="O161" s="7">
        <f t="shared" si="21"/>
        <v>35</v>
      </c>
      <c r="P161" s="16">
        <f t="shared" si="20"/>
        <v>54.897000433601882</v>
      </c>
      <c r="Q161" s="8">
        <f t="shared" si="22"/>
        <v>19.897000433601882</v>
      </c>
      <c r="S161">
        <f t="shared" si="17"/>
        <v>0</v>
      </c>
    </row>
    <row r="162" spans="1:19" x14ac:dyDescent="0.25">
      <c r="A162" s="3">
        <v>161</v>
      </c>
      <c r="B162" s="27">
        <v>1029088</v>
      </c>
      <c r="C162" s="3">
        <v>61</v>
      </c>
      <c r="D162" s="3" t="s">
        <v>46</v>
      </c>
      <c r="E162" s="15">
        <v>45975</v>
      </c>
      <c r="F162" s="6">
        <v>46017</v>
      </c>
      <c r="G162" s="3" t="s">
        <v>9</v>
      </c>
      <c r="H162" s="3" t="s">
        <v>18</v>
      </c>
      <c r="I162" s="3">
        <v>0</v>
      </c>
      <c r="J162" s="3">
        <v>2</v>
      </c>
      <c r="K162" s="3">
        <v>2</v>
      </c>
      <c r="L162" s="3">
        <v>7</v>
      </c>
      <c r="M162" s="3">
        <v>36</v>
      </c>
      <c r="N162" s="3">
        <v>6</v>
      </c>
      <c r="O162" s="7">
        <f t="shared" si="21"/>
        <v>46.092437480817821</v>
      </c>
      <c r="P162" s="17">
        <f t="shared" si="20"/>
        <v>85</v>
      </c>
      <c r="Q162" s="8">
        <f t="shared" si="22"/>
        <v>38.907562519182179</v>
      </c>
      <c r="S162">
        <f t="shared" si="17"/>
        <v>0</v>
      </c>
    </row>
    <row r="163" spans="1:19" x14ac:dyDescent="0.25">
      <c r="A163" s="3">
        <v>162</v>
      </c>
      <c r="B163" s="27">
        <v>1029088</v>
      </c>
      <c r="C163" s="3">
        <v>61</v>
      </c>
      <c r="D163" s="3" t="s">
        <v>46</v>
      </c>
      <c r="E163" s="15">
        <v>45975</v>
      </c>
      <c r="F163" s="6">
        <v>46017</v>
      </c>
      <c r="G163" s="3" t="s">
        <v>9</v>
      </c>
      <c r="H163" s="3" t="s">
        <v>22</v>
      </c>
      <c r="I163" s="3">
        <v>0</v>
      </c>
      <c r="J163" s="3">
        <v>1</v>
      </c>
      <c r="K163" s="3">
        <v>1</v>
      </c>
      <c r="L163" s="3">
        <v>7</v>
      </c>
      <c r="M163" s="3">
        <v>18</v>
      </c>
      <c r="N163" s="3">
        <v>15</v>
      </c>
      <c r="O163" s="7">
        <f t="shared" si="21"/>
        <v>61.143937264016877</v>
      </c>
      <c r="P163" s="16">
        <f t="shared" si="20"/>
        <v>65.102999566398125</v>
      </c>
      <c r="Q163" s="8">
        <f t="shared" si="22"/>
        <v>3.9590623023812483</v>
      </c>
      <c r="S163">
        <f t="shared" si="17"/>
        <v>0</v>
      </c>
    </row>
    <row r="164" spans="1:19" x14ac:dyDescent="0.25">
      <c r="A164" s="3">
        <v>163</v>
      </c>
      <c r="B164" s="27">
        <v>1052073</v>
      </c>
      <c r="C164" s="3">
        <v>57</v>
      </c>
      <c r="D164" s="3" t="s">
        <v>46</v>
      </c>
      <c r="E164" s="15">
        <v>45951</v>
      </c>
      <c r="F164" s="6">
        <v>45987</v>
      </c>
      <c r="G164" s="3" t="s">
        <v>9</v>
      </c>
      <c r="H164" s="3" t="s">
        <v>22</v>
      </c>
      <c r="I164" s="3">
        <v>0</v>
      </c>
      <c r="J164" s="3">
        <v>1</v>
      </c>
      <c r="K164" s="3">
        <f t="shared" ref="K164:K176" si="23">SUM(I$1:I$176+J$1:J$176)</f>
        <v>1</v>
      </c>
      <c r="L164" s="3">
        <v>9</v>
      </c>
      <c r="M164" s="3">
        <v>18</v>
      </c>
      <c r="N164" s="3">
        <v>24</v>
      </c>
      <c r="O164" s="7">
        <f t="shared" si="21"/>
        <v>61.143937264016877</v>
      </c>
      <c r="P164" s="16">
        <f t="shared" si="20"/>
        <v>54.897000433601882</v>
      </c>
      <c r="Q164" s="8">
        <f t="shared" si="22"/>
        <v>-6.2469368304149953</v>
      </c>
      <c r="R164" t="s">
        <v>90</v>
      </c>
      <c r="S164">
        <f t="shared" si="17"/>
        <v>1</v>
      </c>
    </row>
    <row r="165" spans="1:19" x14ac:dyDescent="0.25">
      <c r="A165" s="3">
        <v>164</v>
      </c>
      <c r="B165" s="27">
        <v>269862</v>
      </c>
      <c r="C165" s="3">
        <v>61</v>
      </c>
      <c r="D165" s="3" t="s">
        <v>47</v>
      </c>
      <c r="E165" s="15">
        <v>45965</v>
      </c>
      <c r="F165" s="6">
        <v>46021</v>
      </c>
      <c r="G165" s="3" t="s">
        <v>9</v>
      </c>
      <c r="H165" s="3" t="s">
        <v>22</v>
      </c>
      <c r="I165" s="3">
        <v>0</v>
      </c>
      <c r="J165" s="3">
        <v>2</v>
      </c>
      <c r="K165" s="3">
        <f t="shared" si="23"/>
        <v>2</v>
      </c>
      <c r="L165" s="3">
        <v>10</v>
      </c>
      <c r="M165" s="3">
        <v>180</v>
      </c>
      <c r="N165" s="3">
        <v>12</v>
      </c>
      <c r="O165" s="7">
        <f t="shared" si="21"/>
        <v>11.143937264016884</v>
      </c>
      <c r="P165" s="16">
        <f t="shared" si="20"/>
        <v>69.948500216800937</v>
      </c>
      <c r="Q165" s="8">
        <f t="shared" si="22"/>
        <v>58.804562952784053</v>
      </c>
      <c r="S165">
        <f t="shared" si="17"/>
        <v>0</v>
      </c>
    </row>
    <row r="166" spans="1:19" x14ac:dyDescent="0.25">
      <c r="A166" s="3">
        <v>165</v>
      </c>
      <c r="B166" s="27">
        <v>166782</v>
      </c>
      <c r="C166" s="3">
        <v>71</v>
      </c>
      <c r="D166" s="3" t="s">
        <v>46</v>
      </c>
      <c r="E166" s="15">
        <v>45988</v>
      </c>
      <c r="F166" s="6">
        <v>45989</v>
      </c>
      <c r="G166" s="3" t="s">
        <v>9</v>
      </c>
      <c r="H166" s="3" t="s">
        <v>18</v>
      </c>
      <c r="I166" s="3">
        <v>0</v>
      </c>
      <c r="J166" s="3">
        <v>1</v>
      </c>
      <c r="K166" s="3">
        <f t="shared" si="23"/>
        <v>1</v>
      </c>
      <c r="L166" s="3">
        <v>2</v>
      </c>
      <c r="M166" s="3">
        <v>36</v>
      </c>
      <c r="N166" s="3">
        <v>12</v>
      </c>
      <c r="O166" s="7">
        <f t="shared" si="21"/>
        <v>46.092437480817821</v>
      </c>
      <c r="P166" s="16">
        <f t="shared" si="20"/>
        <v>69.948500216800937</v>
      </c>
      <c r="Q166" s="8">
        <f t="shared" si="22"/>
        <v>23.856062735983116</v>
      </c>
      <c r="S166">
        <f t="shared" si="17"/>
        <v>0</v>
      </c>
    </row>
    <row r="167" spans="1:19" s="36" customFormat="1" x14ac:dyDescent="0.25">
      <c r="A167" s="3">
        <v>166</v>
      </c>
      <c r="B167" s="30">
        <v>814494</v>
      </c>
      <c r="C167" s="29">
        <v>55</v>
      </c>
      <c r="D167" s="29" t="s">
        <v>46</v>
      </c>
      <c r="E167" s="31">
        <v>45969</v>
      </c>
      <c r="F167" s="32">
        <v>46022</v>
      </c>
      <c r="G167" s="29" t="s">
        <v>9</v>
      </c>
      <c r="H167" s="29" t="s">
        <v>18</v>
      </c>
      <c r="I167" s="29">
        <v>0</v>
      </c>
      <c r="J167" s="29">
        <v>2</v>
      </c>
      <c r="K167" s="29">
        <f t="shared" si="23"/>
        <v>2</v>
      </c>
      <c r="L167" s="29">
        <v>9</v>
      </c>
      <c r="M167" s="29">
        <v>60</v>
      </c>
      <c r="N167" s="29">
        <v>180</v>
      </c>
      <c r="O167" s="33">
        <f t="shared" si="21"/>
        <v>35</v>
      </c>
      <c r="P167" s="34">
        <f t="shared" si="20"/>
        <v>11.143937264016884</v>
      </c>
      <c r="Q167" s="35">
        <f t="shared" si="22"/>
        <v>-23.856062735983116</v>
      </c>
      <c r="S167" s="36">
        <f t="shared" si="17"/>
        <v>1</v>
      </c>
    </row>
    <row r="168" spans="1:19" x14ac:dyDescent="0.25">
      <c r="A168" s="3">
        <v>167</v>
      </c>
      <c r="B168" s="27">
        <v>1052851</v>
      </c>
      <c r="C168" s="3">
        <v>60</v>
      </c>
      <c r="D168" s="3" t="s">
        <v>46</v>
      </c>
      <c r="E168" s="15">
        <v>45973</v>
      </c>
      <c r="F168" s="6">
        <v>46028</v>
      </c>
      <c r="G168" s="3" t="s">
        <v>9</v>
      </c>
      <c r="H168" s="3" t="s">
        <v>22</v>
      </c>
      <c r="I168" s="3">
        <v>0</v>
      </c>
      <c r="J168" s="3">
        <v>1</v>
      </c>
      <c r="K168" s="3">
        <f t="shared" si="23"/>
        <v>1</v>
      </c>
      <c r="L168" s="3">
        <v>11</v>
      </c>
      <c r="M168" s="3">
        <v>9</v>
      </c>
      <c r="N168" s="3">
        <v>9</v>
      </c>
      <c r="O168" s="7">
        <f t="shared" si="21"/>
        <v>76.195437047215933</v>
      </c>
      <c r="P168" s="16">
        <f t="shared" si="20"/>
        <v>76.195437047215933</v>
      </c>
      <c r="Q168" s="8">
        <f t="shared" si="22"/>
        <v>0</v>
      </c>
      <c r="S168">
        <f t="shared" si="17"/>
        <v>0</v>
      </c>
    </row>
    <row r="169" spans="1:19" x14ac:dyDescent="0.25">
      <c r="A169" s="3">
        <v>168</v>
      </c>
      <c r="B169" s="27">
        <v>814801</v>
      </c>
      <c r="C169" s="3">
        <v>75</v>
      </c>
      <c r="D169" s="3" t="s">
        <v>46</v>
      </c>
      <c r="E169" s="15">
        <v>45989</v>
      </c>
      <c r="F169" s="6">
        <v>46011</v>
      </c>
      <c r="G169" s="3" t="s">
        <v>9</v>
      </c>
      <c r="H169" s="3" t="s">
        <v>22</v>
      </c>
      <c r="I169" s="3">
        <v>0</v>
      </c>
      <c r="J169" s="3">
        <v>1</v>
      </c>
      <c r="K169" s="3">
        <f t="shared" si="23"/>
        <v>1</v>
      </c>
      <c r="L169" s="3">
        <v>6</v>
      </c>
      <c r="M169" s="3">
        <v>18</v>
      </c>
      <c r="N169" s="3">
        <v>18</v>
      </c>
      <c r="O169" s="7">
        <f t="shared" si="21"/>
        <v>61.143937264016877</v>
      </c>
      <c r="P169" s="16">
        <f t="shared" si="20"/>
        <v>61.143937264016877</v>
      </c>
      <c r="Q169" s="8">
        <f t="shared" si="22"/>
        <v>0</v>
      </c>
      <c r="S169">
        <f t="shared" si="17"/>
        <v>0</v>
      </c>
    </row>
    <row r="170" spans="1:19" x14ac:dyDescent="0.25">
      <c r="A170" s="3">
        <v>169</v>
      </c>
      <c r="B170" s="27">
        <v>255457</v>
      </c>
      <c r="C170" s="3">
        <v>41</v>
      </c>
      <c r="D170" s="3" t="s">
        <v>46</v>
      </c>
      <c r="E170" s="15">
        <v>45544</v>
      </c>
      <c r="F170" s="6">
        <v>46028</v>
      </c>
      <c r="G170" s="3" t="s">
        <v>9</v>
      </c>
      <c r="H170" s="3" t="s">
        <v>22</v>
      </c>
      <c r="I170" s="3">
        <v>0</v>
      </c>
      <c r="J170" s="3">
        <v>1</v>
      </c>
      <c r="K170" s="3">
        <f t="shared" si="23"/>
        <v>1</v>
      </c>
      <c r="L170" s="3">
        <v>9</v>
      </c>
      <c r="M170" s="3">
        <v>9</v>
      </c>
      <c r="N170" s="3">
        <v>9</v>
      </c>
      <c r="O170" s="7">
        <f t="shared" si="21"/>
        <v>76.195437047215933</v>
      </c>
      <c r="P170" s="16">
        <f t="shared" si="20"/>
        <v>76.195437047215933</v>
      </c>
      <c r="Q170" s="8">
        <f t="shared" si="22"/>
        <v>0</v>
      </c>
      <c r="S170">
        <f t="shared" si="17"/>
        <v>0</v>
      </c>
    </row>
    <row r="171" spans="1:19" x14ac:dyDescent="0.25">
      <c r="A171" s="3">
        <v>170</v>
      </c>
      <c r="B171" s="27">
        <v>1053297</v>
      </c>
      <c r="C171" s="3">
        <v>57</v>
      </c>
      <c r="D171" s="3" t="s">
        <v>46</v>
      </c>
      <c r="E171" s="15">
        <v>45993</v>
      </c>
      <c r="F171" s="6">
        <v>46016</v>
      </c>
      <c r="G171" s="3" t="s">
        <v>9</v>
      </c>
      <c r="H171" s="3" t="s">
        <v>18</v>
      </c>
      <c r="I171" s="3">
        <v>0</v>
      </c>
      <c r="J171" s="3">
        <v>1</v>
      </c>
      <c r="K171" s="3">
        <f t="shared" si="23"/>
        <v>1</v>
      </c>
      <c r="L171" s="3">
        <v>4</v>
      </c>
      <c r="M171" s="3">
        <v>18</v>
      </c>
      <c r="N171" s="3">
        <v>6</v>
      </c>
      <c r="O171" s="7">
        <f t="shared" si="21"/>
        <v>61.143937264016877</v>
      </c>
      <c r="P171" s="16">
        <f t="shared" si="20"/>
        <v>85</v>
      </c>
      <c r="Q171" s="8">
        <f t="shared" si="22"/>
        <v>23.856062735983123</v>
      </c>
      <c r="S171">
        <f t="shared" si="17"/>
        <v>0</v>
      </c>
    </row>
    <row r="172" spans="1:19" x14ac:dyDescent="0.25">
      <c r="A172" s="3">
        <v>171</v>
      </c>
      <c r="B172" s="27">
        <v>1052900</v>
      </c>
      <c r="C172" s="3">
        <v>33</v>
      </c>
      <c r="D172" s="3" t="s">
        <v>46</v>
      </c>
      <c r="E172" s="15">
        <v>45975</v>
      </c>
      <c r="F172" s="6">
        <v>46006</v>
      </c>
      <c r="G172" s="3" t="s">
        <v>9</v>
      </c>
      <c r="H172" s="3" t="s">
        <v>22</v>
      </c>
      <c r="I172" s="3">
        <v>0</v>
      </c>
      <c r="J172" s="3">
        <v>1</v>
      </c>
      <c r="K172" s="3">
        <f t="shared" si="23"/>
        <v>1</v>
      </c>
      <c r="L172" s="3">
        <v>9</v>
      </c>
      <c r="M172" s="3">
        <v>7.5</v>
      </c>
      <c r="N172" s="3">
        <v>9</v>
      </c>
      <c r="O172" s="7">
        <f t="shared" si="21"/>
        <v>80.154499349597174</v>
      </c>
      <c r="P172" s="16">
        <f t="shared" si="20"/>
        <v>76.195437047215933</v>
      </c>
      <c r="Q172" s="8">
        <f t="shared" si="22"/>
        <v>-3.9590623023812412</v>
      </c>
      <c r="R172" t="s">
        <v>91</v>
      </c>
      <c r="S172">
        <f t="shared" si="17"/>
        <v>1</v>
      </c>
    </row>
    <row r="173" spans="1:19" x14ac:dyDescent="0.25">
      <c r="A173" s="3">
        <v>172</v>
      </c>
      <c r="B173" s="27">
        <v>153382</v>
      </c>
      <c r="C173" s="3">
        <v>89</v>
      </c>
      <c r="D173" s="3" t="s">
        <v>47</v>
      </c>
      <c r="E173" s="15">
        <v>46018</v>
      </c>
      <c r="F173" s="15">
        <v>46018</v>
      </c>
      <c r="G173" s="3" t="s">
        <v>9</v>
      </c>
      <c r="H173" s="3" t="s">
        <v>18</v>
      </c>
      <c r="I173" s="3">
        <v>0</v>
      </c>
      <c r="J173" s="3">
        <v>1</v>
      </c>
      <c r="K173" s="3">
        <f t="shared" si="23"/>
        <v>1</v>
      </c>
      <c r="L173" s="3">
        <v>1</v>
      </c>
      <c r="M173" s="3">
        <v>24</v>
      </c>
      <c r="N173" s="3">
        <v>24</v>
      </c>
      <c r="O173" s="7">
        <f t="shared" si="21"/>
        <v>54.897000433601882</v>
      </c>
      <c r="P173" s="16">
        <f t="shared" si="20"/>
        <v>54.897000433601882</v>
      </c>
      <c r="Q173" s="8">
        <f t="shared" si="22"/>
        <v>0</v>
      </c>
      <c r="S173">
        <f t="shared" si="17"/>
        <v>0</v>
      </c>
    </row>
    <row r="174" spans="1:19" x14ac:dyDescent="0.25">
      <c r="A174" s="3">
        <v>173</v>
      </c>
      <c r="B174" s="27">
        <v>1054482</v>
      </c>
      <c r="C174" s="3">
        <v>58</v>
      </c>
      <c r="D174" s="3" t="s">
        <v>47</v>
      </c>
      <c r="E174" s="15">
        <v>46017</v>
      </c>
      <c r="F174" s="15">
        <v>46027</v>
      </c>
      <c r="G174" s="3" t="s">
        <v>9</v>
      </c>
      <c r="H174" s="3" t="s">
        <v>18</v>
      </c>
      <c r="I174" s="3">
        <v>0</v>
      </c>
      <c r="J174" s="3">
        <v>1</v>
      </c>
      <c r="K174" s="3">
        <f t="shared" si="23"/>
        <v>1</v>
      </c>
      <c r="L174" s="3">
        <v>5</v>
      </c>
      <c r="M174" s="3">
        <v>12</v>
      </c>
      <c r="N174" s="3">
        <v>12</v>
      </c>
      <c r="O174" s="7">
        <f t="shared" si="21"/>
        <v>69.948500216800937</v>
      </c>
      <c r="P174" s="16">
        <f t="shared" si="20"/>
        <v>69.948500216800937</v>
      </c>
      <c r="Q174" s="8">
        <f t="shared" si="22"/>
        <v>0</v>
      </c>
      <c r="S174">
        <f t="shared" si="17"/>
        <v>0</v>
      </c>
    </row>
    <row r="175" spans="1:19" x14ac:dyDescent="0.25">
      <c r="A175" s="3">
        <v>174</v>
      </c>
      <c r="B175" s="27">
        <v>1054482</v>
      </c>
      <c r="C175" s="3">
        <v>58</v>
      </c>
      <c r="D175" s="3" t="s">
        <v>47</v>
      </c>
      <c r="E175" s="15">
        <v>46017</v>
      </c>
      <c r="F175" s="15">
        <v>46027</v>
      </c>
      <c r="G175" s="3" t="s">
        <v>9</v>
      </c>
      <c r="H175" s="3" t="s">
        <v>22</v>
      </c>
      <c r="I175" s="3">
        <v>0</v>
      </c>
      <c r="J175" s="3">
        <v>1</v>
      </c>
      <c r="K175" s="3">
        <f t="shared" si="23"/>
        <v>1</v>
      </c>
      <c r="L175" s="3">
        <v>5</v>
      </c>
      <c r="M175" s="3">
        <v>60</v>
      </c>
      <c r="N175" s="3">
        <v>180</v>
      </c>
      <c r="O175" s="7">
        <f t="shared" si="21"/>
        <v>35</v>
      </c>
      <c r="P175" s="16">
        <f t="shared" si="20"/>
        <v>11.143937264016884</v>
      </c>
      <c r="Q175" s="8">
        <f t="shared" si="22"/>
        <v>-23.856062735983116</v>
      </c>
      <c r="R175" t="s">
        <v>91</v>
      </c>
      <c r="S175">
        <f t="shared" si="17"/>
        <v>1</v>
      </c>
    </row>
    <row r="176" spans="1:19" x14ac:dyDescent="0.25">
      <c r="A176" s="3">
        <v>175</v>
      </c>
      <c r="B176" s="4" t="s">
        <v>70</v>
      </c>
      <c r="C176" s="3">
        <v>72</v>
      </c>
      <c r="D176" s="3" t="s">
        <v>47</v>
      </c>
      <c r="E176" s="15">
        <v>46009</v>
      </c>
      <c r="F176" s="15">
        <v>46022</v>
      </c>
      <c r="G176" s="3" t="s">
        <v>9</v>
      </c>
      <c r="H176" s="3" t="s">
        <v>18</v>
      </c>
      <c r="I176" s="3">
        <v>0</v>
      </c>
      <c r="J176" s="3">
        <v>1</v>
      </c>
      <c r="K176" s="3">
        <f t="shared" si="23"/>
        <v>1</v>
      </c>
      <c r="L176" s="3">
        <v>4</v>
      </c>
      <c r="M176" s="3">
        <v>18</v>
      </c>
      <c r="N176" s="3">
        <v>18</v>
      </c>
      <c r="O176" s="7">
        <f t="shared" si="21"/>
        <v>61.143937264016877</v>
      </c>
      <c r="P176" s="16">
        <f t="shared" si="20"/>
        <v>61.143937264016877</v>
      </c>
      <c r="Q176" s="8">
        <f t="shared" si="22"/>
        <v>0</v>
      </c>
      <c r="S176">
        <f t="shared" si="17"/>
        <v>0</v>
      </c>
    </row>
    <row r="177" spans="1:19" s="36" customFormat="1" x14ac:dyDescent="0.25">
      <c r="A177" s="3">
        <v>176</v>
      </c>
      <c r="B177" s="13">
        <v>1024416</v>
      </c>
      <c r="C177" s="13">
        <v>49</v>
      </c>
      <c r="D177" s="13" t="s">
        <v>46</v>
      </c>
      <c r="E177" s="37">
        <v>45553</v>
      </c>
      <c r="F177" s="32">
        <v>46027</v>
      </c>
      <c r="G177" s="13" t="s">
        <v>9</v>
      </c>
      <c r="H177" s="29" t="s">
        <v>22</v>
      </c>
      <c r="I177" s="29">
        <v>0</v>
      </c>
      <c r="J177" s="29">
        <v>1</v>
      </c>
      <c r="K177" s="29">
        <v>1</v>
      </c>
      <c r="L177" s="29">
        <v>28</v>
      </c>
      <c r="M177" s="29">
        <v>9</v>
      </c>
      <c r="N177" s="29">
        <v>18</v>
      </c>
      <c r="O177" s="33">
        <f t="shared" si="21"/>
        <v>76.195437047215933</v>
      </c>
      <c r="P177" s="35">
        <f t="shared" si="20"/>
        <v>61.143937264016877</v>
      </c>
      <c r="Q177" s="35">
        <f t="shared" si="22"/>
        <v>-15.051499783199056</v>
      </c>
      <c r="S177" s="36">
        <f t="shared" si="17"/>
        <v>1</v>
      </c>
    </row>
    <row r="178" spans="1:19" x14ac:dyDescent="0.25">
      <c r="A178" s="3">
        <v>177</v>
      </c>
      <c r="B178" s="4">
        <v>1034033</v>
      </c>
      <c r="C178" s="4">
        <v>44</v>
      </c>
      <c r="D178" s="4" t="s">
        <v>19</v>
      </c>
      <c r="E178" s="5">
        <v>45442</v>
      </c>
      <c r="F178" s="6">
        <v>45558</v>
      </c>
      <c r="G178" s="4" t="s">
        <v>9</v>
      </c>
      <c r="H178" s="3" t="s">
        <v>18</v>
      </c>
      <c r="I178" s="3">
        <v>0</v>
      </c>
      <c r="J178" s="3">
        <v>2</v>
      </c>
      <c r="K178" s="3">
        <v>2</v>
      </c>
      <c r="L178" s="3">
        <v>23</v>
      </c>
      <c r="M178" s="3">
        <v>9</v>
      </c>
      <c r="N178" s="3">
        <v>12</v>
      </c>
      <c r="O178" s="7">
        <f t="shared" si="21"/>
        <v>76.195437047215933</v>
      </c>
      <c r="P178" s="8">
        <f t="shared" si="20"/>
        <v>69.948500216800937</v>
      </c>
      <c r="Q178" s="8">
        <f t="shared" si="22"/>
        <v>-6.2469368304149953</v>
      </c>
      <c r="R178" t="s">
        <v>92</v>
      </c>
      <c r="S178">
        <f t="shared" si="17"/>
        <v>1</v>
      </c>
    </row>
  </sheetData>
  <conditionalFormatting sqref="B1:B23">
    <cfRule type="duplicateValues" priority="236"/>
  </conditionalFormatting>
  <conditionalFormatting sqref="B1:B130">
    <cfRule type="duplicateValues" dxfId="164" priority="289"/>
  </conditionalFormatting>
  <conditionalFormatting sqref="B1:B143">
    <cfRule type="duplicateValues" dxfId="163" priority="291"/>
  </conditionalFormatting>
  <conditionalFormatting sqref="B1:B175">
    <cfRule type="duplicateValues" dxfId="162" priority="306"/>
    <cfRule type="duplicateValues" dxfId="161" priority="305"/>
    <cfRule type="duplicateValues" dxfId="160" priority="298"/>
    <cfRule type="duplicateValues" dxfId="159" priority="304"/>
    <cfRule type="duplicateValues" dxfId="158" priority="303"/>
    <cfRule type="duplicateValues" dxfId="157" priority="302"/>
    <cfRule type="duplicateValues" dxfId="156" priority="301"/>
    <cfRule type="duplicateValues" dxfId="155" priority="300"/>
    <cfRule type="duplicateValues" dxfId="154" priority="299"/>
    <cfRule type="duplicateValues" dxfId="153" priority="297"/>
    <cfRule type="duplicateValues" dxfId="152" priority="296"/>
    <cfRule type="duplicateValues" dxfId="151" priority="295"/>
    <cfRule type="duplicateValues" dxfId="150" priority="294"/>
    <cfRule type="duplicateValues" dxfId="149" priority="293"/>
  </conditionalFormatting>
  <conditionalFormatting sqref="B1:B1048576">
    <cfRule type="duplicateValues" dxfId="148" priority="1"/>
  </conditionalFormatting>
  <conditionalFormatting sqref="B61:B63 B1:B45 B65:B88 B90 B47:B59">
    <cfRule type="duplicateValues" dxfId="147" priority="97"/>
    <cfRule type="duplicateValues" dxfId="146" priority="96"/>
    <cfRule type="duplicateValues" dxfId="145" priority="95"/>
  </conditionalFormatting>
  <conditionalFormatting sqref="B90 B65:B88 B2:B45 B61:B63 B47:B59">
    <cfRule type="duplicateValues" dxfId="144" priority="92"/>
  </conditionalFormatting>
  <conditionalFormatting sqref="B95:B130 B1:B93">
    <cfRule type="duplicateValues" dxfId="143" priority="93"/>
  </conditionalFormatting>
  <conditionalFormatting sqref="B95:B130 B90:B93 B65:B88 B1:B45 B61:B63 B47:B59">
    <cfRule type="duplicateValues" dxfId="142" priority="94"/>
  </conditionalFormatting>
  <conditionalFormatting sqref="B163:B168 B1:B161">
    <cfRule type="duplicateValues" dxfId="141" priority="88"/>
  </conditionalFormatting>
  <conditionalFormatting sqref="B176">
    <cfRule type="duplicateValues" dxfId="140" priority="2"/>
    <cfRule type="duplicateValues" dxfId="139" priority="3"/>
    <cfRule type="duplicateValues" dxfId="138" priority="4"/>
    <cfRule type="duplicateValues" dxfId="137" priority="5"/>
    <cfRule type="duplicateValues" dxfId="136" priority="6"/>
  </conditionalFormatting>
  <conditionalFormatting sqref="B177">
    <cfRule type="duplicateValues" dxfId="135" priority="50"/>
    <cfRule type="duplicateValues" dxfId="134" priority="51"/>
    <cfRule type="duplicateValues" dxfId="133" priority="52"/>
    <cfRule type="duplicateValues" dxfId="132" priority="53"/>
    <cfRule type="duplicateValues" dxfId="131" priority="54"/>
    <cfRule type="duplicateValues" dxfId="130" priority="57"/>
    <cfRule type="duplicateValues" dxfId="129" priority="58"/>
    <cfRule type="duplicateValues" dxfId="128" priority="59"/>
    <cfRule type="duplicateValues" dxfId="127" priority="62"/>
  </conditionalFormatting>
  <conditionalFormatting sqref="B178">
    <cfRule type="duplicateValues" dxfId="126" priority="25"/>
    <cfRule type="duplicateValues" dxfId="125" priority="30"/>
    <cfRule type="duplicateValues" dxfId="124" priority="29"/>
    <cfRule type="duplicateValues" dxfId="123" priority="28"/>
    <cfRule type="duplicateValues" dxfId="122" priority="27"/>
    <cfRule type="duplicateValues" dxfId="121" priority="26"/>
    <cfRule type="duplicateValues" dxfId="120" priority="24"/>
    <cfRule type="duplicateValues" dxfId="119" priority="23"/>
    <cfRule type="duplicateValues" dxfId="118" priority="22"/>
    <cfRule type="duplicateValues" dxfId="117" priority="21"/>
    <cfRule type="duplicateValues" dxfId="116" priority="20"/>
    <cfRule type="duplicateValues" dxfId="115" priority="19"/>
    <cfRule type="duplicateValues" dxfId="114" priority="18"/>
    <cfRule type="duplicateValues" dxfId="113" priority="17"/>
    <cfRule type="duplicateValues" dxfId="112" priority="16"/>
    <cfRule type="duplicateValues" dxfId="111" priority="9"/>
    <cfRule type="duplicateValues" dxfId="110" priority="15"/>
    <cfRule type="duplicateValues" dxfId="109" priority="14"/>
    <cfRule type="duplicateValues" dxfId="108" priority="13"/>
    <cfRule type="duplicateValues" dxfId="107" priority="12"/>
    <cfRule type="duplicateValues" dxfId="106" priority="11"/>
    <cfRule type="duplicateValues" dxfId="105" priority="10"/>
    <cfRule type="duplicateValues" dxfId="104" priority="8"/>
    <cfRule type="duplicateValues" dxfId="103" priority="7"/>
  </conditionalFormatting>
  <conditionalFormatting sqref="C5">
    <cfRule type="duplicateValues" dxfId="102" priority="90"/>
  </conditionalFormatting>
  <conditionalFormatting sqref="H32">
    <cfRule type="duplicateValues" dxfId="101" priority="7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2715-5834-4186-9A0C-762EE7E7F362}">
  <dimension ref="A1:V157"/>
  <sheetViews>
    <sheetView tabSelected="1" topLeftCell="D1" workbookViewId="0">
      <selection activeCell="AB6" sqref="AB6"/>
    </sheetView>
  </sheetViews>
  <sheetFormatPr defaultRowHeight="15" x14ac:dyDescent="0.25"/>
  <cols>
    <col min="1" max="1" width="5.42578125" bestFit="1" customWidth="1"/>
    <col min="2" max="2" width="12.42578125" bestFit="1" customWidth="1"/>
    <col min="5" max="6" width="10.42578125" bestFit="1" customWidth="1"/>
    <col min="7" max="7" width="18.7109375" bestFit="1" customWidth="1"/>
    <col min="8" max="8" width="15.7109375" bestFit="1" customWidth="1"/>
    <col min="9" max="9" width="8.28515625" bestFit="1" customWidth="1"/>
    <col min="10" max="10" width="9.28515625" bestFit="1" customWidth="1"/>
    <col min="11" max="11" width="16.42578125" bestFit="1" customWidth="1"/>
    <col min="12" max="12" width="10.7109375" bestFit="1" customWidth="1"/>
    <col min="13" max="13" width="14.85546875" bestFit="1" customWidth="1"/>
    <col min="14" max="14" width="16.28515625" bestFit="1" customWidth="1"/>
    <col min="15" max="15" width="10.140625" bestFit="1" customWidth="1"/>
    <col min="16" max="16" width="9.85546875" bestFit="1" customWidth="1"/>
    <col min="17" max="17" width="15.28515625" bestFit="1" customWidth="1"/>
    <col min="21" max="21" width="9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22" x14ac:dyDescent="0.25">
      <c r="A2" s="3">
        <v>1</v>
      </c>
      <c r="B2" s="4">
        <v>1008829</v>
      </c>
      <c r="C2" s="4">
        <v>55</v>
      </c>
      <c r="D2" s="4" t="s">
        <v>19</v>
      </c>
      <c r="E2" s="5">
        <v>45384</v>
      </c>
      <c r="F2" s="6">
        <v>45509</v>
      </c>
      <c r="G2" s="4" t="s">
        <v>8</v>
      </c>
      <c r="H2" s="3" t="s">
        <v>22</v>
      </c>
      <c r="I2" s="3">
        <v>1</v>
      </c>
      <c r="J2" s="3">
        <v>0</v>
      </c>
      <c r="K2" s="3">
        <v>1</v>
      </c>
      <c r="L2" s="3">
        <v>17</v>
      </c>
      <c r="M2" s="3">
        <v>300</v>
      </c>
      <c r="N2" s="3">
        <v>24</v>
      </c>
      <c r="O2" s="7">
        <f t="shared" ref="O2:P6" si="0">85+50*LOG10(6/M2)</f>
        <v>5.1499783199062676E-2</v>
      </c>
      <c r="P2" s="8">
        <f t="shared" si="0"/>
        <v>54.897000433601882</v>
      </c>
      <c r="Q2" s="8">
        <f t="shared" ref="Q2:Q33" si="1">P2-O2</f>
        <v>54.845500650402819</v>
      </c>
      <c r="S2">
        <f>COUNTIF(Q2,"&lt;0")</f>
        <v>0</v>
      </c>
    </row>
    <row r="3" spans="1:22" x14ac:dyDescent="0.25">
      <c r="A3" s="3">
        <v>2</v>
      </c>
      <c r="B3" s="4">
        <v>263177</v>
      </c>
      <c r="C3" s="4">
        <v>78</v>
      </c>
      <c r="D3" s="4" t="s">
        <v>19</v>
      </c>
      <c r="E3" s="5">
        <v>45386</v>
      </c>
      <c r="F3" s="6">
        <v>45492</v>
      </c>
      <c r="G3" s="4" t="s">
        <v>8</v>
      </c>
      <c r="H3" s="3" t="s">
        <v>22</v>
      </c>
      <c r="I3" s="3">
        <v>1</v>
      </c>
      <c r="J3" s="3">
        <v>0</v>
      </c>
      <c r="K3" s="3">
        <v>1</v>
      </c>
      <c r="L3" s="3">
        <v>7</v>
      </c>
      <c r="M3" s="3">
        <v>36</v>
      </c>
      <c r="N3" s="3">
        <v>12</v>
      </c>
      <c r="O3" s="7">
        <f t="shared" si="0"/>
        <v>46.092437480817821</v>
      </c>
      <c r="P3" s="8">
        <f t="shared" si="0"/>
        <v>69.948500216800937</v>
      </c>
      <c r="Q3" s="8">
        <f t="shared" si="1"/>
        <v>23.856062735983116</v>
      </c>
      <c r="S3">
        <f t="shared" ref="S3:S66" si="2">COUNTIF(Q3,"&lt;0")</f>
        <v>0</v>
      </c>
      <c r="U3" s="1" t="s">
        <v>71</v>
      </c>
      <c r="V3" s="1">
        <f>COUNTIF(S:S,"1")</f>
        <v>28</v>
      </c>
    </row>
    <row r="4" spans="1:22" x14ac:dyDescent="0.25">
      <c r="A4" s="3">
        <v>3</v>
      </c>
      <c r="B4" s="4">
        <v>3068905</v>
      </c>
      <c r="C4" s="4">
        <v>65</v>
      </c>
      <c r="D4" s="4" t="s">
        <v>17</v>
      </c>
      <c r="E4" s="5">
        <v>45394</v>
      </c>
      <c r="F4" s="6">
        <v>45947</v>
      </c>
      <c r="G4" s="4" t="s">
        <v>8</v>
      </c>
      <c r="H4" s="3" t="s">
        <v>22</v>
      </c>
      <c r="I4" s="3">
        <v>2</v>
      </c>
      <c r="J4" s="3">
        <v>0</v>
      </c>
      <c r="K4" s="3">
        <v>2</v>
      </c>
      <c r="L4" s="3">
        <v>17</v>
      </c>
      <c r="M4" s="3">
        <v>60</v>
      </c>
      <c r="N4" s="3">
        <v>18</v>
      </c>
      <c r="O4" s="7">
        <f t="shared" si="0"/>
        <v>35</v>
      </c>
      <c r="P4" s="8">
        <f t="shared" si="0"/>
        <v>61.143937264016877</v>
      </c>
      <c r="Q4" s="8">
        <f t="shared" si="1"/>
        <v>26.143937264016877</v>
      </c>
      <c r="S4">
        <f t="shared" si="2"/>
        <v>0</v>
      </c>
      <c r="U4" s="1" t="s">
        <v>72</v>
      </c>
      <c r="V4" s="1">
        <f>COUNTIF(S:S,"0")</f>
        <v>128</v>
      </c>
    </row>
    <row r="5" spans="1:22" x14ac:dyDescent="0.25">
      <c r="A5" s="3">
        <v>4</v>
      </c>
      <c r="B5" s="4">
        <v>1032371</v>
      </c>
      <c r="C5" s="4">
        <v>62</v>
      </c>
      <c r="D5" s="4" t="s">
        <v>19</v>
      </c>
      <c r="E5" s="5">
        <v>45399</v>
      </c>
      <c r="F5" s="6">
        <v>45866</v>
      </c>
      <c r="G5" s="4" t="s">
        <v>8</v>
      </c>
      <c r="H5" s="3" t="s">
        <v>22</v>
      </c>
      <c r="I5" s="3">
        <v>2</v>
      </c>
      <c r="J5" s="3">
        <v>0</v>
      </c>
      <c r="K5" s="3">
        <v>2</v>
      </c>
      <c r="L5" s="3">
        <v>17</v>
      </c>
      <c r="M5" s="3">
        <v>180</v>
      </c>
      <c r="N5" s="3">
        <v>9</v>
      </c>
      <c r="O5" s="7">
        <f t="shared" si="0"/>
        <v>11.143937264016884</v>
      </c>
      <c r="P5" s="8">
        <f t="shared" si="0"/>
        <v>76.195437047215933</v>
      </c>
      <c r="Q5" s="8">
        <f t="shared" si="1"/>
        <v>65.051499783199048</v>
      </c>
      <c r="S5">
        <f t="shared" si="2"/>
        <v>0</v>
      </c>
      <c r="U5" s="1" t="s">
        <v>74</v>
      </c>
      <c r="V5" s="1">
        <f>COUNT(S:S)</f>
        <v>156</v>
      </c>
    </row>
    <row r="6" spans="1:22" x14ac:dyDescent="0.25">
      <c r="A6" s="3">
        <v>5</v>
      </c>
      <c r="B6" s="4">
        <v>187825</v>
      </c>
      <c r="C6" s="4">
        <v>63</v>
      </c>
      <c r="D6" s="4" t="s">
        <v>19</v>
      </c>
      <c r="E6" s="5">
        <v>45400</v>
      </c>
      <c r="F6" s="6">
        <v>45940</v>
      </c>
      <c r="G6" s="4" t="s">
        <v>8</v>
      </c>
      <c r="H6" s="3" t="s">
        <v>22</v>
      </c>
      <c r="I6" s="3">
        <v>2</v>
      </c>
      <c r="J6" s="3">
        <v>0</v>
      </c>
      <c r="K6" s="3">
        <v>2</v>
      </c>
      <c r="L6" s="3">
        <v>16</v>
      </c>
      <c r="M6" s="3">
        <v>300</v>
      </c>
      <c r="N6" s="3">
        <v>12</v>
      </c>
      <c r="O6" s="7">
        <f t="shared" si="0"/>
        <v>5.1499783199062676E-2</v>
      </c>
      <c r="P6" s="8">
        <f t="shared" si="0"/>
        <v>69.948500216800937</v>
      </c>
      <c r="Q6" s="8">
        <f t="shared" si="1"/>
        <v>69.897000433601875</v>
      </c>
      <c r="S6">
        <f t="shared" si="2"/>
        <v>0</v>
      </c>
    </row>
    <row r="7" spans="1:22" x14ac:dyDescent="0.25">
      <c r="A7" s="3">
        <v>6</v>
      </c>
      <c r="B7" s="4">
        <v>1031647</v>
      </c>
      <c r="C7" s="4">
        <v>64</v>
      </c>
      <c r="D7" s="4" t="s">
        <v>19</v>
      </c>
      <c r="E7" s="5">
        <v>45409</v>
      </c>
      <c r="F7" s="6">
        <v>45869</v>
      </c>
      <c r="G7" s="4" t="s">
        <v>8</v>
      </c>
      <c r="H7" s="3" t="s">
        <v>18</v>
      </c>
      <c r="I7" s="3">
        <v>2</v>
      </c>
      <c r="J7" s="3">
        <v>0</v>
      </c>
      <c r="K7" s="3">
        <v>2</v>
      </c>
      <c r="L7" s="3">
        <v>25</v>
      </c>
      <c r="M7" s="3" t="s">
        <v>23</v>
      </c>
      <c r="N7" s="3" t="s">
        <v>23</v>
      </c>
      <c r="O7" s="7">
        <v>0</v>
      </c>
      <c r="P7" s="8">
        <v>0</v>
      </c>
      <c r="Q7" s="8">
        <f t="shared" si="1"/>
        <v>0</v>
      </c>
      <c r="S7">
        <f t="shared" si="2"/>
        <v>0</v>
      </c>
    </row>
    <row r="8" spans="1:22" x14ac:dyDescent="0.25">
      <c r="A8" s="3">
        <v>7</v>
      </c>
      <c r="B8" s="4">
        <v>1024069</v>
      </c>
      <c r="C8" s="4">
        <v>49</v>
      </c>
      <c r="D8" s="4" t="s">
        <v>19</v>
      </c>
      <c r="E8" s="5">
        <v>45426</v>
      </c>
      <c r="F8" s="6">
        <v>45450</v>
      </c>
      <c r="G8" s="4" t="s">
        <v>8</v>
      </c>
      <c r="H8" s="3" t="s">
        <v>22</v>
      </c>
      <c r="I8" s="3">
        <v>1</v>
      </c>
      <c r="J8" s="3">
        <v>0</v>
      </c>
      <c r="K8" s="3">
        <v>1</v>
      </c>
      <c r="L8" s="3">
        <v>7</v>
      </c>
      <c r="M8" s="3">
        <v>36</v>
      </c>
      <c r="N8" s="3">
        <v>9</v>
      </c>
      <c r="O8" s="7">
        <f t="shared" ref="O8:O17" si="3">85+50*LOG10(6/M8)</f>
        <v>46.092437480817821</v>
      </c>
      <c r="P8" s="8">
        <f t="shared" ref="P8:P17" si="4">85+50*LOG10(6/N8)</f>
        <v>76.195437047215933</v>
      </c>
      <c r="Q8" s="8">
        <f t="shared" si="1"/>
        <v>30.102999566398111</v>
      </c>
      <c r="S8">
        <f t="shared" si="2"/>
        <v>0</v>
      </c>
      <c r="U8" s="1" t="s">
        <v>73</v>
      </c>
      <c r="V8" s="20">
        <f>AVERAGE(Q:Q)</f>
        <v>22.6656946773609</v>
      </c>
    </row>
    <row r="9" spans="1:22" x14ac:dyDescent="0.25">
      <c r="A9" s="3">
        <v>8</v>
      </c>
      <c r="B9" s="4">
        <v>146260</v>
      </c>
      <c r="C9" s="4">
        <v>74</v>
      </c>
      <c r="D9" s="4" t="s">
        <v>17</v>
      </c>
      <c r="E9" s="5">
        <v>45426</v>
      </c>
      <c r="F9" s="6">
        <v>45911</v>
      </c>
      <c r="G9" s="4" t="s">
        <v>8</v>
      </c>
      <c r="H9" s="3" t="s">
        <v>18</v>
      </c>
      <c r="I9" s="3">
        <v>2</v>
      </c>
      <c r="J9" s="3">
        <v>0</v>
      </c>
      <c r="K9" s="3">
        <v>2</v>
      </c>
      <c r="L9" s="3">
        <v>13</v>
      </c>
      <c r="M9" s="3">
        <v>300</v>
      </c>
      <c r="N9" s="3">
        <v>36</v>
      </c>
      <c r="O9" s="7">
        <f t="shared" si="3"/>
        <v>5.1499783199062676E-2</v>
      </c>
      <c r="P9" s="8">
        <f t="shared" si="4"/>
        <v>46.092437480817821</v>
      </c>
      <c r="Q9" s="8">
        <f t="shared" si="1"/>
        <v>46.040937697618759</v>
      </c>
      <c r="S9">
        <f t="shared" si="2"/>
        <v>0</v>
      </c>
    </row>
    <row r="10" spans="1:22" x14ac:dyDescent="0.25">
      <c r="A10" s="3">
        <v>9</v>
      </c>
      <c r="B10" s="4">
        <v>256248</v>
      </c>
      <c r="C10" s="4">
        <v>48</v>
      </c>
      <c r="D10" s="4" t="s">
        <v>19</v>
      </c>
      <c r="E10" s="5">
        <v>45425</v>
      </c>
      <c r="F10" s="6">
        <v>45476</v>
      </c>
      <c r="G10" s="4" t="s">
        <v>8</v>
      </c>
      <c r="H10" s="3" t="s">
        <v>22</v>
      </c>
      <c r="I10" s="3">
        <v>1</v>
      </c>
      <c r="J10" s="3">
        <v>0</v>
      </c>
      <c r="K10" s="3">
        <v>1</v>
      </c>
      <c r="L10" s="3">
        <v>4</v>
      </c>
      <c r="M10" s="3">
        <v>120</v>
      </c>
      <c r="N10" s="3">
        <v>9</v>
      </c>
      <c r="O10" s="7">
        <f t="shared" si="3"/>
        <v>19.948500216800937</v>
      </c>
      <c r="P10" s="8">
        <f t="shared" si="4"/>
        <v>76.195437047215933</v>
      </c>
      <c r="Q10" s="8">
        <f t="shared" si="1"/>
        <v>56.246936830414995</v>
      </c>
      <c r="S10">
        <f t="shared" si="2"/>
        <v>0</v>
      </c>
    </row>
    <row r="11" spans="1:22" x14ac:dyDescent="0.25">
      <c r="A11" s="3">
        <v>10</v>
      </c>
      <c r="B11" s="4">
        <v>1019495</v>
      </c>
      <c r="C11" s="4">
        <v>38</v>
      </c>
      <c r="D11" s="4" t="s">
        <v>19</v>
      </c>
      <c r="E11" s="5">
        <v>45433</v>
      </c>
      <c r="F11" s="6">
        <v>45451</v>
      </c>
      <c r="G11" s="4" t="s">
        <v>8</v>
      </c>
      <c r="H11" s="3" t="s">
        <v>18</v>
      </c>
      <c r="I11" s="3">
        <v>1</v>
      </c>
      <c r="J11" s="3">
        <v>0</v>
      </c>
      <c r="K11" s="3">
        <v>1</v>
      </c>
      <c r="L11" s="3">
        <v>5</v>
      </c>
      <c r="M11" s="3">
        <v>9</v>
      </c>
      <c r="N11" s="3">
        <v>9</v>
      </c>
      <c r="O11" s="7">
        <f t="shared" si="3"/>
        <v>76.195437047215933</v>
      </c>
      <c r="P11" s="8">
        <f t="shared" si="4"/>
        <v>76.195437047215933</v>
      </c>
      <c r="Q11" s="8">
        <f t="shared" si="1"/>
        <v>0</v>
      </c>
      <c r="S11">
        <f t="shared" si="2"/>
        <v>0</v>
      </c>
    </row>
    <row r="12" spans="1:22" x14ac:dyDescent="0.25">
      <c r="A12" s="3">
        <v>11</v>
      </c>
      <c r="B12" s="4">
        <v>3068468</v>
      </c>
      <c r="C12" s="4">
        <v>57</v>
      </c>
      <c r="D12" s="4" t="s">
        <v>19</v>
      </c>
      <c r="E12" s="5">
        <v>45433</v>
      </c>
      <c r="F12" s="6">
        <v>45448</v>
      </c>
      <c r="G12" s="4" t="s">
        <v>8</v>
      </c>
      <c r="H12" s="3" t="s">
        <v>18</v>
      </c>
      <c r="I12" s="3">
        <v>1</v>
      </c>
      <c r="J12" s="3">
        <v>0</v>
      </c>
      <c r="K12" s="3">
        <v>1</v>
      </c>
      <c r="L12" s="3">
        <v>5</v>
      </c>
      <c r="M12" s="3">
        <v>9</v>
      </c>
      <c r="N12" s="3">
        <v>9</v>
      </c>
      <c r="O12" s="7">
        <f t="shared" si="3"/>
        <v>76.195437047215933</v>
      </c>
      <c r="P12" s="8">
        <f t="shared" si="4"/>
        <v>76.195437047215933</v>
      </c>
      <c r="Q12" s="8">
        <f t="shared" si="1"/>
        <v>0</v>
      </c>
      <c r="S12">
        <f t="shared" si="2"/>
        <v>0</v>
      </c>
    </row>
    <row r="13" spans="1:22" x14ac:dyDescent="0.25">
      <c r="A13" s="3">
        <v>12</v>
      </c>
      <c r="B13" s="4" t="s">
        <v>26</v>
      </c>
      <c r="C13" s="4">
        <v>60</v>
      </c>
      <c r="D13" s="4" t="s">
        <v>17</v>
      </c>
      <c r="E13" s="5">
        <v>45447</v>
      </c>
      <c r="F13" s="6">
        <v>45941</v>
      </c>
      <c r="G13" s="4" t="s">
        <v>8</v>
      </c>
      <c r="H13" s="3" t="s">
        <v>18</v>
      </c>
      <c r="I13" s="3">
        <v>1</v>
      </c>
      <c r="J13" s="3">
        <v>0</v>
      </c>
      <c r="K13" s="3">
        <v>1</v>
      </c>
      <c r="L13" s="3">
        <v>16</v>
      </c>
      <c r="M13" s="3">
        <v>24</v>
      </c>
      <c r="N13" s="3">
        <v>18</v>
      </c>
      <c r="O13" s="7">
        <f t="shared" si="3"/>
        <v>54.897000433601882</v>
      </c>
      <c r="P13" s="8">
        <f t="shared" si="4"/>
        <v>61.143937264016877</v>
      </c>
      <c r="Q13" s="8">
        <f t="shared" si="1"/>
        <v>6.2469368304149953</v>
      </c>
      <c r="S13">
        <f t="shared" si="2"/>
        <v>0</v>
      </c>
    </row>
    <row r="14" spans="1:22" x14ac:dyDescent="0.25">
      <c r="A14" s="3">
        <v>13</v>
      </c>
      <c r="B14" s="4">
        <v>1034031</v>
      </c>
      <c r="C14" s="4">
        <v>70</v>
      </c>
      <c r="D14" s="4" t="s">
        <v>17</v>
      </c>
      <c r="E14" s="5">
        <v>45449</v>
      </c>
      <c r="F14" s="6">
        <v>45520</v>
      </c>
      <c r="G14" s="4" t="s">
        <v>8</v>
      </c>
      <c r="H14" s="3" t="s">
        <v>18</v>
      </c>
      <c r="I14" s="3">
        <v>1</v>
      </c>
      <c r="J14" s="3">
        <v>0</v>
      </c>
      <c r="K14" s="3">
        <v>1</v>
      </c>
      <c r="L14" s="3">
        <v>9</v>
      </c>
      <c r="M14" s="3">
        <v>180</v>
      </c>
      <c r="N14" s="3">
        <v>18</v>
      </c>
      <c r="O14" s="7">
        <f t="shared" si="3"/>
        <v>11.143937264016884</v>
      </c>
      <c r="P14" s="8">
        <f t="shared" si="4"/>
        <v>61.143937264016877</v>
      </c>
      <c r="Q14" s="8">
        <f t="shared" si="1"/>
        <v>49.999999999999993</v>
      </c>
      <c r="S14">
        <f t="shared" si="2"/>
        <v>0</v>
      </c>
    </row>
    <row r="15" spans="1:22" x14ac:dyDescent="0.25">
      <c r="A15" s="3">
        <v>14</v>
      </c>
      <c r="B15" s="4">
        <v>1034053</v>
      </c>
      <c r="C15" s="4">
        <v>43</v>
      </c>
      <c r="D15" s="4" t="s">
        <v>17</v>
      </c>
      <c r="E15" s="5">
        <v>45449</v>
      </c>
      <c r="F15" s="6">
        <v>45559</v>
      </c>
      <c r="G15" s="4" t="s">
        <v>8</v>
      </c>
      <c r="H15" s="3" t="s">
        <v>18</v>
      </c>
      <c r="I15" s="3">
        <v>1</v>
      </c>
      <c r="J15" s="3">
        <v>0</v>
      </c>
      <c r="K15" s="3">
        <v>1</v>
      </c>
      <c r="L15" s="3">
        <v>11</v>
      </c>
      <c r="M15" s="3">
        <v>300</v>
      </c>
      <c r="N15" s="3">
        <v>120</v>
      </c>
      <c r="O15" s="7">
        <f t="shared" si="3"/>
        <v>5.1499783199062676E-2</v>
      </c>
      <c r="P15" s="8">
        <f t="shared" si="4"/>
        <v>19.948500216800937</v>
      </c>
      <c r="Q15" s="8">
        <f t="shared" si="1"/>
        <v>19.897000433601875</v>
      </c>
      <c r="S15">
        <f t="shared" si="2"/>
        <v>0</v>
      </c>
    </row>
    <row r="16" spans="1:22" x14ac:dyDescent="0.25">
      <c r="A16" s="3">
        <v>15</v>
      </c>
      <c r="B16" s="3" t="s">
        <v>27</v>
      </c>
      <c r="C16" s="4">
        <v>60</v>
      </c>
      <c r="D16" s="4" t="s">
        <v>19</v>
      </c>
      <c r="E16" s="5">
        <v>45456</v>
      </c>
      <c r="F16" s="6">
        <v>45974</v>
      </c>
      <c r="G16" s="4" t="s">
        <v>8</v>
      </c>
      <c r="H16" s="3" t="s">
        <v>18</v>
      </c>
      <c r="I16" s="3">
        <v>1</v>
      </c>
      <c r="J16" s="3">
        <v>0</v>
      </c>
      <c r="K16" s="3">
        <v>1</v>
      </c>
      <c r="L16" s="3">
        <v>20</v>
      </c>
      <c r="M16" s="3">
        <v>12</v>
      </c>
      <c r="N16" s="3">
        <v>6</v>
      </c>
      <c r="O16" s="7">
        <f t="shared" si="3"/>
        <v>69.948500216800937</v>
      </c>
      <c r="P16" s="8">
        <f t="shared" si="4"/>
        <v>85</v>
      </c>
      <c r="Q16" s="8">
        <f t="shared" si="1"/>
        <v>15.051499783199063</v>
      </c>
      <c r="S16">
        <f t="shared" si="2"/>
        <v>0</v>
      </c>
    </row>
    <row r="17" spans="1:19" x14ac:dyDescent="0.25">
      <c r="A17" s="3">
        <v>16</v>
      </c>
      <c r="B17" s="4">
        <v>1034387</v>
      </c>
      <c r="C17" s="4">
        <v>23</v>
      </c>
      <c r="D17" s="4" t="s">
        <v>19</v>
      </c>
      <c r="E17" s="5">
        <v>45456</v>
      </c>
      <c r="F17" s="6">
        <v>45817</v>
      </c>
      <c r="G17" s="4" t="s">
        <v>8</v>
      </c>
      <c r="H17" s="3" t="s">
        <v>18</v>
      </c>
      <c r="I17" s="3">
        <v>1</v>
      </c>
      <c r="J17" s="3">
        <v>0</v>
      </c>
      <c r="K17" s="3">
        <v>1</v>
      </c>
      <c r="L17" s="3">
        <v>9</v>
      </c>
      <c r="M17" s="3">
        <v>60</v>
      </c>
      <c r="N17" s="3">
        <v>180</v>
      </c>
      <c r="O17" s="7">
        <f t="shared" si="3"/>
        <v>35</v>
      </c>
      <c r="P17" s="8">
        <f t="shared" si="4"/>
        <v>11.143937264016884</v>
      </c>
      <c r="Q17" s="8">
        <f t="shared" si="1"/>
        <v>-23.856062735983116</v>
      </c>
      <c r="S17">
        <f t="shared" si="2"/>
        <v>1</v>
      </c>
    </row>
    <row r="18" spans="1:19" x14ac:dyDescent="0.25">
      <c r="A18" s="3">
        <v>17</v>
      </c>
      <c r="B18" s="4" t="s">
        <v>28</v>
      </c>
      <c r="C18" s="4">
        <v>65</v>
      </c>
      <c r="D18" s="4" t="s">
        <v>19</v>
      </c>
      <c r="E18" s="5">
        <v>45461</v>
      </c>
      <c r="F18" s="6">
        <v>45590</v>
      </c>
      <c r="G18" s="4" t="s">
        <v>8</v>
      </c>
      <c r="H18" s="3" t="s">
        <v>22</v>
      </c>
      <c r="I18" s="3">
        <v>2</v>
      </c>
      <c r="J18" s="3">
        <v>0</v>
      </c>
      <c r="K18" s="3">
        <v>2</v>
      </c>
      <c r="L18" s="3">
        <v>13</v>
      </c>
      <c r="M18" s="3" t="s">
        <v>29</v>
      </c>
      <c r="N18" s="3">
        <v>9</v>
      </c>
      <c r="O18" s="7">
        <v>0</v>
      </c>
      <c r="P18" s="8">
        <f>85+50*LOG10(6/N18)</f>
        <v>76.195437047215933</v>
      </c>
      <c r="Q18" s="8">
        <f t="shared" si="1"/>
        <v>76.195437047215933</v>
      </c>
      <c r="S18">
        <f t="shared" si="2"/>
        <v>0</v>
      </c>
    </row>
    <row r="19" spans="1:19" x14ac:dyDescent="0.25">
      <c r="A19" s="3">
        <v>18</v>
      </c>
      <c r="B19" s="4">
        <v>3071139</v>
      </c>
      <c r="C19" s="4">
        <v>28</v>
      </c>
      <c r="D19" s="4" t="s">
        <v>19</v>
      </c>
      <c r="E19" s="5">
        <v>45463</v>
      </c>
      <c r="F19" s="6">
        <v>45506</v>
      </c>
      <c r="G19" s="4" t="s">
        <v>8</v>
      </c>
      <c r="H19" s="3" t="s">
        <v>22</v>
      </c>
      <c r="I19" s="3">
        <v>1</v>
      </c>
      <c r="J19" s="3">
        <v>0</v>
      </c>
      <c r="K19" s="3">
        <v>1</v>
      </c>
      <c r="L19" s="3">
        <v>4</v>
      </c>
      <c r="M19" s="3">
        <v>300</v>
      </c>
      <c r="N19" s="3">
        <v>12</v>
      </c>
      <c r="O19" s="7">
        <f>85+50*LOG10(6/M19)</f>
        <v>5.1499783199062676E-2</v>
      </c>
      <c r="P19" s="8">
        <f>85+50*LOG10(6/N19)</f>
        <v>69.948500216800937</v>
      </c>
      <c r="Q19" s="8">
        <f t="shared" si="1"/>
        <v>69.897000433601875</v>
      </c>
      <c r="S19">
        <f t="shared" si="2"/>
        <v>0</v>
      </c>
    </row>
    <row r="20" spans="1:19" x14ac:dyDescent="0.25">
      <c r="A20" s="3">
        <v>19</v>
      </c>
      <c r="B20" s="4" t="s">
        <v>30</v>
      </c>
      <c r="C20" s="4">
        <v>75</v>
      </c>
      <c r="D20" s="4" t="s">
        <v>17</v>
      </c>
      <c r="E20" s="5">
        <v>45464</v>
      </c>
      <c r="F20" s="6">
        <v>45624</v>
      </c>
      <c r="G20" s="4" t="s">
        <v>8</v>
      </c>
      <c r="H20" s="3" t="s">
        <v>22</v>
      </c>
      <c r="I20" s="3">
        <v>2</v>
      </c>
      <c r="J20" s="3">
        <v>0</v>
      </c>
      <c r="K20" s="3">
        <v>2</v>
      </c>
      <c r="L20" s="3">
        <v>10</v>
      </c>
      <c r="M20" s="3" t="s">
        <v>31</v>
      </c>
      <c r="N20" s="3">
        <v>18</v>
      </c>
      <c r="O20" s="7">
        <v>0</v>
      </c>
      <c r="P20" s="8">
        <f>85+50*LOG10(6/N20)</f>
        <v>61.143937264016877</v>
      </c>
      <c r="Q20" s="8">
        <f t="shared" si="1"/>
        <v>61.143937264016877</v>
      </c>
      <c r="S20">
        <f t="shared" si="2"/>
        <v>0</v>
      </c>
    </row>
    <row r="21" spans="1:19" x14ac:dyDescent="0.25">
      <c r="A21" s="3">
        <v>20</v>
      </c>
      <c r="B21" s="4">
        <v>306895</v>
      </c>
      <c r="C21" s="4">
        <v>65</v>
      </c>
      <c r="D21" s="4" t="s">
        <v>17</v>
      </c>
      <c r="E21" s="5">
        <v>45470</v>
      </c>
      <c r="F21" s="6">
        <v>45478</v>
      </c>
      <c r="G21" s="4" t="s">
        <v>8</v>
      </c>
      <c r="H21" s="3" t="s">
        <v>22</v>
      </c>
      <c r="I21" s="3">
        <v>1</v>
      </c>
      <c r="J21" s="3">
        <v>0</v>
      </c>
      <c r="K21" s="3">
        <v>1</v>
      </c>
      <c r="L21" s="3">
        <v>4</v>
      </c>
      <c r="M21" s="3" t="s">
        <v>21</v>
      </c>
      <c r="N21" s="3" t="s">
        <v>23</v>
      </c>
      <c r="O21" s="7">
        <v>0</v>
      </c>
      <c r="P21" s="8">
        <v>0</v>
      </c>
      <c r="Q21" s="8">
        <f t="shared" si="1"/>
        <v>0</v>
      </c>
      <c r="S21">
        <f t="shared" si="2"/>
        <v>0</v>
      </c>
    </row>
    <row r="22" spans="1:19" x14ac:dyDescent="0.25">
      <c r="A22" s="3">
        <v>21</v>
      </c>
      <c r="B22" s="3">
        <v>501811</v>
      </c>
      <c r="C22" s="4">
        <v>73</v>
      </c>
      <c r="D22" s="4" t="s">
        <v>17</v>
      </c>
      <c r="E22" s="5">
        <v>45457</v>
      </c>
      <c r="F22" s="6">
        <v>45517</v>
      </c>
      <c r="G22" s="4" t="s">
        <v>8</v>
      </c>
      <c r="H22" s="3" t="s">
        <v>22</v>
      </c>
      <c r="I22" s="3">
        <v>1</v>
      </c>
      <c r="J22" s="3">
        <v>0</v>
      </c>
      <c r="K22" s="3">
        <v>1</v>
      </c>
      <c r="L22" s="3">
        <v>8</v>
      </c>
      <c r="M22" s="3">
        <v>24</v>
      </c>
      <c r="N22" s="3">
        <v>18</v>
      </c>
      <c r="O22" s="7">
        <f>85+50*LOG10(6/M22)</f>
        <v>54.897000433601882</v>
      </c>
      <c r="P22" s="8">
        <f>85+50*LOG10(6/N22)</f>
        <v>61.143937264016877</v>
      </c>
      <c r="Q22" s="8">
        <f t="shared" si="1"/>
        <v>6.2469368304149953</v>
      </c>
      <c r="S22">
        <f t="shared" si="2"/>
        <v>0</v>
      </c>
    </row>
    <row r="23" spans="1:19" x14ac:dyDescent="0.25">
      <c r="A23" s="3">
        <v>22</v>
      </c>
      <c r="B23" s="4">
        <v>1033377</v>
      </c>
      <c r="C23" s="4">
        <v>75</v>
      </c>
      <c r="D23" s="4" t="s">
        <v>17</v>
      </c>
      <c r="E23" s="5">
        <v>45471</v>
      </c>
      <c r="F23" s="6">
        <v>45478</v>
      </c>
      <c r="G23" s="4" t="s">
        <v>8</v>
      </c>
      <c r="H23" s="3" t="s">
        <v>22</v>
      </c>
      <c r="I23" s="3">
        <v>1</v>
      </c>
      <c r="J23" s="3">
        <v>0</v>
      </c>
      <c r="K23" s="3">
        <v>1</v>
      </c>
      <c r="L23" s="3">
        <v>4</v>
      </c>
      <c r="M23" s="3" t="s">
        <v>21</v>
      </c>
      <c r="N23" s="3" t="s">
        <v>23</v>
      </c>
      <c r="O23" s="7">
        <v>0</v>
      </c>
      <c r="P23" s="8">
        <v>0</v>
      </c>
      <c r="Q23" s="8">
        <f t="shared" si="1"/>
        <v>0</v>
      </c>
      <c r="S23">
        <f t="shared" si="2"/>
        <v>0</v>
      </c>
    </row>
    <row r="24" spans="1:19" x14ac:dyDescent="0.25">
      <c r="A24" s="3">
        <v>23</v>
      </c>
      <c r="B24" s="4" t="s">
        <v>33</v>
      </c>
      <c r="C24" s="4">
        <v>59</v>
      </c>
      <c r="D24" s="4" t="s">
        <v>19</v>
      </c>
      <c r="E24" s="5">
        <v>45484</v>
      </c>
      <c r="F24" s="6">
        <v>45834</v>
      </c>
      <c r="G24" s="4" t="s">
        <v>8</v>
      </c>
      <c r="H24" s="3" t="s">
        <v>22</v>
      </c>
      <c r="I24" s="3">
        <v>2</v>
      </c>
      <c r="J24" s="3">
        <v>0</v>
      </c>
      <c r="K24" s="3">
        <v>2</v>
      </c>
      <c r="L24" s="3">
        <v>9</v>
      </c>
      <c r="M24" s="3">
        <v>7.5</v>
      </c>
      <c r="N24" s="3">
        <v>6</v>
      </c>
      <c r="O24" s="7">
        <f t="shared" ref="O24:P28" si="5">85+50*LOG10(6/M24)</f>
        <v>80.154499349597174</v>
      </c>
      <c r="P24" s="8">
        <f t="shared" si="5"/>
        <v>85</v>
      </c>
      <c r="Q24" s="8">
        <f t="shared" si="1"/>
        <v>4.8455006504028262</v>
      </c>
      <c r="S24">
        <f t="shared" si="2"/>
        <v>0</v>
      </c>
    </row>
    <row r="25" spans="1:19" x14ac:dyDescent="0.25">
      <c r="A25" s="3">
        <v>24</v>
      </c>
      <c r="B25" s="4">
        <v>199198</v>
      </c>
      <c r="C25" s="4">
        <v>61</v>
      </c>
      <c r="D25" s="4" t="s">
        <v>19</v>
      </c>
      <c r="E25" s="5">
        <v>45484</v>
      </c>
      <c r="F25" s="6">
        <v>45598</v>
      </c>
      <c r="G25" s="4" t="s">
        <v>8</v>
      </c>
      <c r="H25" s="3" t="s">
        <v>18</v>
      </c>
      <c r="I25" s="3">
        <v>1</v>
      </c>
      <c r="J25" s="3">
        <v>0</v>
      </c>
      <c r="K25" s="3">
        <v>1</v>
      </c>
      <c r="L25" s="3">
        <v>10</v>
      </c>
      <c r="M25" s="3">
        <v>12</v>
      </c>
      <c r="N25" s="3">
        <v>9</v>
      </c>
      <c r="O25" s="7">
        <f t="shared" si="5"/>
        <v>69.948500216800937</v>
      </c>
      <c r="P25" s="8">
        <f t="shared" si="5"/>
        <v>76.195437047215933</v>
      </c>
      <c r="Q25" s="8">
        <f t="shared" si="1"/>
        <v>6.2469368304149953</v>
      </c>
      <c r="S25">
        <f t="shared" si="2"/>
        <v>0</v>
      </c>
    </row>
    <row r="26" spans="1:19" x14ac:dyDescent="0.25">
      <c r="A26" s="3">
        <v>25</v>
      </c>
      <c r="B26" s="4">
        <v>1035509</v>
      </c>
      <c r="C26" s="4">
        <v>65</v>
      </c>
      <c r="D26" s="4" t="s">
        <v>19</v>
      </c>
      <c r="E26" s="5">
        <v>45485</v>
      </c>
      <c r="F26" s="6">
        <v>45532</v>
      </c>
      <c r="G26" s="4" t="s">
        <v>8</v>
      </c>
      <c r="H26" s="3" t="s">
        <v>18</v>
      </c>
      <c r="I26" s="3">
        <v>1</v>
      </c>
      <c r="J26" s="3">
        <v>0</v>
      </c>
      <c r="K26" s="3">
        <v>1</v>
      </c>
      <c r="L26" s="3">
        <v>6</v>
      </c>
      <c r="M26" s="3">
        <v>36</v>
      </c>
      <c r="N26" s="3">
        <v>24</v>
      </c>
      <c r="O26" s="7">
        <f t="shared" si="5"/>
        <v>46.092437480817821</v>
      </c>
      <c r="P26" s="8">
        <f t="shared" si="5"/>
        <v>54.897000433601882</v>
      </c>
      <c r="Q26" s="8">
        <f t="shared" si="1"/>
        <v>8.8045629527840603</v>
      </c>
      <c r="S26">
        <f t="shared" si="2"/>
        <v>0</v>
      </c>
    </row>
    <row r="27" spans="1:19" x14ac:dyDescent="0.25">
      <c r="A27" s="3">
        <v>26</v>
      </c>
      <c r="B27" s="4">
        <v>141501</v>
      </c>
      <c r="C27" s="4">
        <v>55</v>
      </c>
      <c r="D27" s="4" t="s">
        <v>19</v>
      </c>
      <c r="E27" s="5">
        <v>45485</v>
      </c>
      <c r="F27" s="6">
        <v>45982</v>
      </c>
      <c r="G27" s="4" t="s">
        <v>8</v>
      </c>
      <c r="H27" s="3" t="s">
        <v>22</v>
      </c>
      <c r="I27" s="3">
        <v>1</v>
      </c>
      <c r="J27" s="3">
        <v>0</v>
      </c>
      <c r="K27" s="3">
        <v>1</v>
      </c>
      <c r="L27" s="3">
        <v>12</v>
      </c>
      <c r="M27" s="3">
        <v>18</v>
      </c>
      <c r="N27" s="3">
        <v>6</v>
      </c>
      <c r="O27" s="7">
        <f t="shared" si="5"/>
        <v>61.143937264016877</v>
      </c>
      <c r="P27" s="8">
        <f t="shared" si="5"/>
        <v>85</v>
      </c>
      <c r="Q27" s="8">
        <f t="shared" si="1"/>
        <v>23.856062735983123</v>
      </c>
      <c r="S27">
        <f t="shared" si="2"/>
        <v>0</v>
      </c>
    </row>
    <row r="28" spans="1:19" x14ac:dyDescent="0.25">
      <c r="A28" s="3">
        <v>27</v>
      </c>
      <c r="B28" s="4">
        <v>1026782</v>
      </c>
      <c r="C28" s="4">
        <v>53</v>
      </c>
      <c r="D28" s="4" t="s">
        <v>19</v>
      </c>
      <c r="E28" s="5">
        <v>45458</v>
      </c>
      <c r="F28" s="6">
        <v>45637</v>
      </c>
      <c r="G28" s="4" t="s">
        <v>8</v>
      </c>
      <c r="H28" s="3" t="s">
        <v>22</v>
      </c>
      <c r="I28" s="3">
        <v>2</v>
      </c>
      <c r="J28" s="3">
        <v>0</v>
      </c>
      <c r="K28" s="3">
        <v>2</v>
      </c>
      <c r="L28" s="3">
        <v>16</v>
      </c>
      <c r="M28" s="3">
        <v>36</v>
      </c>
      <c r="N28" s="3">
        <v>36</v>
      </c>
      <c r="O28" s="7">
        <f t="shared" si="5"/>
        <v>46.092437480817821</v>
      </c>
      <c r="P28" s="8">
        <f t="shared" si="5"/>
        <v>46.092437480817821</v>
      </c>
      <c r="Q28" s="8">
        <f t="shared" si="1"/>
        <v>0</v>
      </c>
      <c r="S28">
        <f t="shared" si="2"/>
        <v>0</v>
      </c>
    </row>
    <row r="29" spans="1:19" x14ac:dyDescent="0.25">
      <c r="A29" s="3">
        <v>28</v>
      </c>
      <c r="B29" s="4">
        <v>1024049</v>
      </c>
      <c r="C29" s="4">
        <v>49</v>
      </c>
      <c r="D29" s="4" t="s">
        <v>19</v>
      </c>
      <c r="E29" s="5">
        <v>45490</v>
      </c>
      <c r="F29" s="6">
        <v>45600</v>
      </c>
      <c r="G29" s="4" t="s">
        <v>8</v>
      </c>
      <c r="H29" s="3" t="s">
        <v>18</v>
      </c>
      <c r="I29" s="3">
        <v>0</v>
      </c>
      <c r="J29" s="3">
        <v>1</v>
      </c>
      <c r="K29" s="3">
        <v>2</v>
      </c>
      <c r="L29" s="3">
        <v>10</v>
      </c>
      <c r="M29" s="3" t="s">
        <v>23</v>
      </c>
      <c r="N29" s="3" t="s">
        <v>24</v>
      </c>
      <c r="O29" s="7">
        <v>0</v>
      </c>
      <c r="P29" s="8">
        <v>0</v>
      </c>
      <c r="Q29" s="8">
        <f t="shared" si="1"/>
        <v>0</v>
      </c>
      <c r="S29">
        <f t="shared" si="2"/>
        <v>0</v>
      </c>
    </row>
    <row r="30" spans="1:19" x14ac:dyDescent="0.25">
      <c r="A30" s="3">
        <v>29</v>
      </c>
      <c r="B30" s="4">
        <v>1024049</v>
      </c>
      <c r="C30" s="4">
        <v>49</v>
      </c>
      <c r="D30" s="4" t="s">
        <v>19</v>
      </c>
      <c r="E30" s="5">
        <v>45490</v>
      </c>
      <c r="F30" s="6">
        <v>45600</v>
      </c>
      <c r="G30" s="4" t="s">
        <v>8</v>
      </c>
      <c r="H30" s="3" t="s">
        <v>22</v>
      </c>
      <c r="I30" s="3">
        <v>1</v>
      </c>
      <c r="J30" s="3">
        <v>0</v>
      </c>
      <c r="K30" s="3">
        <v>2</v>
      </c>
      <c r="L30" s="3">
        <v>10</v>
      </c>
      <c r="M30" s="3">
        <v>180</v>
      </c>
      <c r="N30" s="3">
        <v>18</v>
      </c>
      <c r="O30" s="7">
        <f>85+50*LOG10(6/M30)</f>
        <v>11.143937264016884</v>
      </c>
      <c r="P30" s="8">
        <f>85+50*LOG10(6/N30)</f>
        <v>61.143937264016877</v>
      </c>
      <c r="Q30" s="8">
        <f t="shared" si="1"/>
        <v>49.999999999999993</v>
      </c>
      <c r="S30">
        <f t="shared" si="2"/>
        <v>0</v>
      </c>
    </row>
    <row r="31" spans="1:19" x14ac:dyDescent="0.25">
      <c r="A31" s="3">
        <v>30</v>
      </c>
      <c r="B31" s="4">
        <v>3018982</v>
      </c>
      <c r="C31" s="4">
        <v>61</v>
      </c>
      <c r="D31" s="4" t="s">
        <v>17</v>
      </c>
      <c r="E31" s="5">
        <v>45485</v>
      </c>
      <c r="F31" s="6">
        <v>45736</v>
      </c>
      <c r="G31" s="4" t="s">
        <v>8</v>
      </c>
      <c r="H31" s="3" t="s">
        <v>18</v>
      </c>
      <c r="I31" s="3">
        <v>2</v>
      </c>
      <c r="J31" s="3">
        <v>0</v>
      </c>
      <c r="K31" s="3">
        <v>2</v>
      </c>
      <c r="L31" s="3">
        <v>28</v>
      </c>
      <c r="M31" s="3" t="s">
        <v>23</v>
      </c>
      <c r="N31" s="3" t="s">
        <v>21</v>
      </c>
      <c r="O31" s="7">
        <v>0</v>
      </c>
      <c r="P31" s="8">
        <v>0</v>
      </c>
      <c r="Q31" s="8">
        <f t="shared" si="1"/>
        <v>0</v>
      </c>
      <c r="S31">
        <f t="shared" si="2"/>
        <v>0</v>
      </c>
    </row>
    <row r="32" spans="1:19" x14ac:dyDescent="0.25">
      <c r="A32" s="3">
        <v>31</v>
      </c>
      <c r="B32" s="4">
        <v>264890</v>
      </c>
      <c r="C32" s="4">
        <v>66</v>
      </c>
      <c r="D32" s="4" t="s">
        <v>17</v>
      </c>
      <c r="E32" s="5">
        <v>45481</v>
      </c>
      <c r="F32" s="6">
        <v>45787</v>
      </c>
      <c r="G32" s="4" t="s">
        <v>8</v>
      </c>
      <c r="H32" s="3" t="s">
        <v>18</v>
      </c>
      <c r="I32" s="3">
        <v>1</v>
      </c>
      <c r="J32" s="3">
        <v>0</v>
      </c>
      <c r="K32" s="3">
        <v>1</v>
      </c>
      <c r="L32" s="3">
        <v>9</v>
      </c>
      <c r="M32" s="3" t="s">
        <v>29</v>
      </c>
      <c r="N32" s="3">
        <v>36</v>
      </c>
      <c r="O32" s="7">
        <v>0</v>
      </c>
      <c r="P32" s="8">
        <f t="shared" ref="P32:P41" si="6">85+50*LOG10(6/N32)</f>
        <v>46.092437480817821</v>
      </c>
      <c r="Q32" s="8">
        <f t="shared" si="1"/>
        <v>46.092437480817821</v>
      </c>
      <c r="S32">
        <f t="shared" si="2"/>
        <v>0</v>
      </c>
    </row>
    <row r="33" spans="1:19" x14ac:dyDescent="0.25">
      <c r="A33" s="3">
        <v>32</v>
      </c>
      <c r="B33" s="4">
        <v>900767</v>
      </c>
      <c r="C33" s="4">
        <v>65</v>
      </c>
      <c r="D33" s="4" t="s">
        <v>19</v>
      </c>
      <c r="E33" s="5">
        <v>45492</v>
      </c>
      <c r="F33" s="6">
        <v>45544</v>
      </c>
      <c r="G33" s="4" t="s">
        <v>8</v>
      </c>
      <c r="H33" s="3" t="s">
        <v>22</v>
      </c>
      <c r="I33" s="3">
        <v>1</v>
      </c>
      <c r="J33" s="3">
        <v>0</v>
      </c>
      <c r="K33" s="3">
        <v>1</v>
      </c>
      <c r="L33" s="3">
        <v>6</v>
      </c>
      <c r="M33" s="3" t="s">
        <v>29</v>
      </c>
      <c r="N33" s="3">
        <v>180</v>
      </c>
      <c r="O33" s="7">
        <v>0</v>
      </c>
      <c r="P33" s="8">
        <f t="shared" si="6"/>
        <v>11.143937264016884</v>
      </c>
      <c r="Q33" s="8">
        <f t="shared" si="1"/>
        <v>11.143937264016884</v>
      </c>
      <c r="S33">
        <f t="shared" si="2"/>
        <v>0</v>
      </c>
    </row>
    <row r="34" spans="1:19" x14ac:dyDescent="0.25">
      <c r="A34" s="3">
        <v>33</v>
      </c>
      <c r="B34" s="4">
        <v>1035907</v>
      </c>
      <c r="C34" s="4">
        <v>61</v>
      </c>
      <c r="D34" s="4" t="s">
        <v>19</v>
      </c>
      <c r="E34" s="5">
        <v>45492</v>
      </c>
      <c r="F34" s="6">
        <v>45527</v>
      </c>
      <c r="G34" s="4" t="s">
        <v>8</v>
      </c>
      <c r="H34" s="3" t="s">
        <v>22</v>
      </c>
      <c r="I34" s="3">
        <v>1</v>
      </c>
      <c r="J34" s="3">
        <v>0</v>
      </c>
      <c r="K34" s="3">
        <v>1</v>
      </c>
      <c r="L34" s="3">
        <v>5</v>
      </c>
      <c r="M34" s="3">
        <v>180</v>
      </c>
      <c r="N34" s="3">
        <v>6</v>
      </c>
      <c r="O34" s="7">
        <f>85+50*LOG10(6/M34)</f>
        <v>11.143937264016884</v>
      </c>
      <c r="P34" s="8">
        <f t="shared" si="6"/>
        <v>85</v>
      </c>
      <c r="Q34" s="8">
        <f t="shared" ref="Q34:Q65" si="7">P34-O34</f>
        <v>73.856062735983116</v>
      </c>
      <c r="S34">
        <f t="shared" si="2"/>
        <v>0</v>
      </c>
    </row>
    <row r="35" spans="1:19" x14ac:dyDescent="0.25">
      <c r="A35" s="3">
        <v>34</v>
      </c>
      <c r="B35" s="4">
        <v>237432</v>
      </c>
      <c r="C35" s="4">
        <v>60</v>
      </c>
      <c r="D35" s="4" t="s">
        <v>17</v>
      </c>
      <c r="E35" s="5">
        <v>45492</v>
      </c>
      <c r="F35" s="6">
        <v>45709</v>
      </c>
      <c r="G35" s="4" t="s">
        <v>8</v>
      </c>
      <c r="H35" s="3" t="s">
        <v>18</v>
      </c>
      <c r="I35" s="3">
        <v>1</v>
      </c>
      <c r="J35" s="3">
        <v>0</v>
      </c>
      <c r="K35" s="3">
        <v>1</v>
      </c>
      <c r="L35" s="3">
        <v>8</v>
      </c>
      <c r="M35" s="3" t="s">
        <v>31</v>
      </c>
      <c r="N35" s="3">
        <v>7.5</v>
      </c>
      <c r="O35" s="7">
        <v>0</v>
      </c>
      <c r="P35" s="8">
        <f t="shared" si="6"/>
        <v>80.154499349597174</v>
      </c>
      <c r="Q35" s="8">
        <f t="shared" si="7"/>
        <v>80.154499349597174</v>
      </c>
      <c r="S35">
        <f t="shared" si="2"/>
        <v>0</v>
      </c>
    </row>
    <row r="36" spans="1:19" x14ac:dyDescent="0.25">
      <c r="A36" s="3">
        <v>35</v>
      </c>
      <c r="B36" s="4">
        <v>264944</v>
      </c>
      <c r="C36" s="4">
        <v>59</v>
      </c>
      <c r="D36" s="4" t="s">
        <v>17</v>
      </c>
      <c r="E36" s="5">
        <v>45499</v>
      </c>
      <c r="F36" s="6">
        <v>45569</v>
      </c>
      <c r="G36" s="4" t="s">
        <v>8</v>
      </c>
      <c r="H36" s="3" t="s">
        <v>22</v>
      </c>
      <c r="I36" s="3">
        <v>1</v>
      </c>
      <c r="J36" s="3">
        <v>0</v>
      </c>
      <c r="K36" s="3">
        <v>1</v>
      </c>
      <c r="L36" s="3">
        <v>7</v>
      </c>
      <c r="M36" s="3">
        <v>24</v>
      </c>
      <c r="N36" s="3">
        <v>24</v>
      </c>
      <c r="O36" s="7">
        <f>85+50*LOG10(6/M36)</f>
        <v>54.897000433601882</v>
      </c>
      <c r="P36" s="8">
        <f t="shared" si="6"/>
        <v>54.897000433601882</v>
      </c>
      <c r="Q36" s="8">
        <f t="shared" si="7"/>
        <v>0</v>
      </c>
      <c r="S36">
        <f t="shared" si="2"/>
        <v>0</v>
      </c>
    </row>
    <row r="37" spans="1:19" x14ac:dyDescent="0.25">
      <c r="A37" s="3">
        <v>36</v>
      </c>
      <c r="B37" s="4">
        <v>3072757</v>
      </c>
      <c r="C37" s="4">
        <v>63</v>
      </c>
      <c r="D37" s="4" t="s">
        <v>17</v>
      </c>
      <c r="E37" s="5">
        <v>45512</v>
      </c>
      <c r="F37" s="6">
        <v>45607</v>
      </c>
      <c r="G37" s="4" t="s">
        <v>8</v>
      </c>
      <c r="H37" s="3" t="s">
        <v>22</v>
      </c>
      <c r="I37" s="3">
        <v>1</v>
      </c>
      <c r="J37" s="3">
        <v>0</v>
      </c>
      <c r="K37" s="3">
        <v>1</v>
      </c>
      <c r="L37" s="3">
        <v>7</v>
      </c>
      <c r="M37" s="3" t="s">
        <v>23</v>
      </c>
      <c r="N37" s="3">
        <v>12</v>
      </c>
      <c r="O37" s="7">
        <v>0</v>
      </c>
      <c r="P37" s="8">
        <f t="shared" si="6"/>
        <v>69.948500216800937</v>
      </c>
      <c r="Q37" s="8">
        <f t="shared" si="7"/>
        <v>69.948500216800937</v>
      </c>
      <c r="S37">
        <f t="shared" si="2"/>
        <v>0</v>
      </c>
    </row>
    <row r="38" spans="1:19" x14ac:dyDescent="0.25">
      <c r="A38" s="3">
        <v>37</v>
      </c>
      <c r="B38" s="3" t="s">
        <v>36</v>
      </c>
      <c r="C38" s="4">
        <v>68</v>
      </c>
      <c r="D38" s="4" t="s">
        <v>17</v>
      </c>
      <c r="E38" s="5">
        <v>45513</v>
      </c>
      <c r="F38" s="6">
        <v>45934</v>
      </c>
      <c r="G38" s="4" t="s">
        <v>8</v>
      </c>
      <c r="H38" s="3" t="s">
        <v>18</v>
      </c>
      <c r="I38" s="3">
        <v>2</v>
      </c>
      <c r="J38" s="3">
        <v>0</v>
      </c>
      <c r="K38" s="3">
        <v>2</v>
      </c>
      <c r="L38" s="3">
        <v>13</v>
      </c>
      <c r="M38" s="3">
        <v>36</v>
      </c>
      <c r="N38" s="3">
        <v>18</v>
      </c>
      <c r="O38" s="7">
        <f>85+50*LOG10(6/M38)</f>
        <v>46.092437480817821</v>
      </c>
      <c r="P38" s="8">
        <f t="shared" si="6"/>
        <v>61.143937264016877</v>
      </c>
      <c r="Q38" s="8">
        <f t="shared" si="7"/>
        <v>15.051499783199056</v>
      </c>
      <c r="S38">
        <f t="shared" si="2"/>
        <v>0</v>
      </c>
    </row>
    <row r="39" spans="1:19" x14ac:dyDescent="0.25">
      <c r="A39" s="3">
        <v>38</v>
      </c>
      <c r="B39" s="4">
        <v>3072367</v>
      </c>
      <c r="C39" s="4">
        <v>58</v>
      </c>
      <c r="D39" s="4" t="s">
        <v>19</v>
      </c>
      <c r="E39" s="5">
        <v>45525</v>
      </c>
      <c r="F39" s="6">
        <v>45548</v>
      </c>
      <c r="G39" s="4" t="s">
        <v>8</v>
      </c>
      <c r="H39" s="3" t="s">
        <v>18</v>
      </c>
      <c r="I39" s="3">
        <v>1</v>
      </c>
      <c r="J39" s="3">
        <v>0</v>
      </c>
      <c r="K39" s="3">
        <v>1</v>
      </c>
      <c r="L39" s="3">
        <v>6</v>
      </c>
      <c r="M39" s="3" t="s">
        <v>23</v>
      </c>
      <c r="N39" s="3">
        <v>12</v>
      </c>
      <c r="O39" s="7">
        <v>0</v>
      </c>
      <c r="P39" s="8">
        <f t="shared" si="6"/>
        <v>69.948500216800937</v>
      </c>
      <c r="Q39" s="8">
        <f t="shared" si="7"/>
        <v>69.948500216800937</v>
      </c>
      <c r="S39">
        <f t="shared" si="2"/>
        <v>0</v>
      </c>
    </row>
    <row r="40" spans="1:19" x14ac:dyDescent="0.25">
      <c r="A40" s="3">
        <v>39</v>
      </c>
      <c r="B40" s="4">
        <v>4000247</v>
      </c>
      <c r="C40" s="4">
        <v>71</v>
      </c>
      <c r="D40" s="4" t="s">
        <v>19</v>
      </c>
      <c r="E40" s="5">
        <v>45510</v>
      </c>
      <c r="F40" s="6">
        <v>45622</v>
      </c>
      <c r="G40" s="4" t="s">
        <v>8</v>
      </c>
      <c r="H40" s="3" t="s">
        <v>18</v>
      </c>
      <c r="I40" s="3">
        <v>1</v>
      </c>
      <c r="J40" s="3">
        <v>0</v>
      </c>
      <c r="K40" s="3">
        <v>1</v>
      </c>
      <c r="L40" s="3">
        <v>8</v>
      </c>
      <c r="M40" s="3">
        <v>240</v>
      </c>
      <c r="N40" s="3">
        <v>240</v>
      </c>
      <c r="O40" s="7">
        <f t="shared" ref="O40:O53" si="8">85+50*LOG10(6/M40)</f>
        <v>4.8970004336018889</v>
      </c>
      <c r="P40" s="8">
        <f t="shared" si="6"/>
        <v>4.8970004336018889</v>
      </c>
      <c r="Q40" s="8">
        <f t="shared" si="7"/>
        <v>0</v>
      </c>
      <c r="S40">
        <f t="shared" si="2"/>
        <v>0</v>
      </c>
    </row>
    <row r="41" spans="1:19" x14ac:dyDescent="0.25">
      <c r="A41" s="3">
        <v>40</v>
      </c>
      <c r="B41" s="4">
        <v>4000247</v>
      </c>
      <c r="C41" s="4">
        <v>71</v>
      </c>
      <c r="D41" s="4" t="s">
        <v>19</v>
      </c>
      <c r="E41" s="5">
        <v>45510</v>
      </c>
      <c r="F41" s="6">
        <v>45622</v>
      </c>
      <c r="G41" s="4" t="s">
        <v>8</v>
      </c>
      <c r="H41" s="3" t="s">
        <v>22</v>
      </c>
      <c r="I41" s="3">
        <v>1</v>
      </c>
      <c r="J41" s="3">
        <v>0</v>
      </c>
      <c r="K41" s="3">
        <v>1</v>
      </c>
      <c r="L41" s="3">
        <v>8</v>
      </c>
      <c r="M41" s="3">
        <v>240</v>
      </c>
      <c r="N41" s="3">
        <v>9</v>
      </c>
      <c r="O41" s="7">
        <f t="shared" si="8"/>
        <v>4.8970004336018889</v>
      </c>
      <c r="P41" s="8">
        <f t="shared" si="6"/>
        <v>76.195437047215933</v>
      </c>
      <c r="Q41" s="8">
        <f t="shared" si="7"/>
        <v>71.298436613614044</v>
      </c>
      <c r="S41">
        <f t="shared" si="2"/>
        <v>0</v>
      </c>
    </row>
    <row r="42" spans="1:19" x14ac:dyDescent="0.25">
      <c r="A42" s="3">
        <v>41</v>
      </c>
      <c r="B42" s="4">
        <v>464676</v>
      </c>
      <c r="C42" s="4">
        <v>71</v>
      </c>
      <c r="D42" s="4" t="s">
        <v>19</v>
      </c>
      <c r="E42" s="5">
        <v>45533</v>
      </c>
      <c r="F42" s="6">
        <v>42328</v>
      </c>
      <c r="G42" s="4" t="s">
        <v>8</v>
      </c>
      <c r="H42" s="3" t="s">
        <v>18</v>
      </c>
      <c r="I42" s="3">
        <v>1</v>
      </c>
      <c r="J42" s="3">
        <v>0</v>
      </c>
      <c r="K42" s="3">
        <v>1</v>
      </c>
      <c r="L42" s="3">
        <v>13</v>
      </c>
      <c r="M42" s="3">
        <v>240</v>
      </c>
      <c r="N42" s="3" t="s">
        <v>24</v>
      </c>
      <c r="O42" s="7">
        <f t="shared" si="8"/>
        <v>4.8970004336018889</v>
      </c>
      <c r="P42" s="8">
        <v>0</v>
      </c>
      <c r="Q42" s="8">
        <f t="shared" si="7"/>
        <v>-4.8970004336018889</v>
      </c>
      <c r="S42">
        <f t="shared" si="2"/>
        <v>1</v>
      </c>
    </row>
    <row r="43" spans="1:19" x14ac:dyDescent="0.25">
      <c r="A43" s="3">
        <v>42</v>
      </c>
      <c r="B43" s="4">
        <v>464676</v>
      </c>
      <c r="C43" s="4">
        <v>71</v>
      </c>
      <c r="D43" s="4" t="s">
        <v>19</v>
      </c>
      <c r="E43" s="5">
        <v>45533</v>
      </c>
      <c r="F43" s="6">
        <v>42328</v>
      </c>
      <c r="G43" s="4" t="s">
        <v>8</v>
      </c>
      <c r="H43" s="3" t="s">
        <v>22</v>
      </c>
      <c r="I43" s="3">
        <v>1</v>
      </c>
      <c r="J43" s="3">
        <v>0</v>
      </c>
      <c r="K43" s="3">
        <v>1</v>
      </c>
      <c r="L43" s="3">
        <v>13</v>
      </c>
      <c r="M43" s="3">
        <v>300</v>
      </c>
      <c r="N43" s="3" t="s">
        <v>23</v>
      </c>
      <c r="O43" s="7">
        <f t="shared" si="8"/>
        <v>5.1499783199062676E-2</v>
      </c>
      <c r="P43" s="8">
        <v>0</v>
      </c>
      <c r="Q43" s="8">
        <f t="shared" si="7"/>
        <v>-5.1499783199062676E-2</v>
      </c>
      <c r="S43">
        <f t="shared" si="2"/>
        <v>1</v>
      </c>
    </row>
    <row r="44" spans="1:19" x14ac:dyDescent="0.25">
      <c r="A44" s="3">
        <v>43</v>
      </c>
      <c r="B44" s="4">
        <v>1026703</v>
      </c>
      <c r="C44" s="4">
        <v>63</v>
      </c>
      <c r="D44" s="4" t="s">
        <v>17</v>
      </c>
      <c r="E44" s="5">
        <v>45533</v>
      </c>
      <c r="F44" s="6">
        <v>45967</v>
      </c>
      <c r="G44" s="4" t="s">
        <v>8</v>
      </c>
      <c r="H44" s="3" t="s">
        <v>22</v>
      </c>
      <c r="I44" s="3">
        <v>2</v>
      </c>
      <c r="J44" s="3">
        <v>0</v>
      </c>
      <c r="K44" s="3">
        <v>2</v>
      </c>
      <c r="L44" s="3">
        <v>16</v>
      </c>
      <c r="M44" s="3">
        <v>12</v>
      </c>
      <c r="N44" s="3">
        <v>9</v>
      </c>
      <c r="O44" s="7">
        <f t="shared" si="8"/>
        <v>69.948500216800937</v>
      </c>
      <c r="P44" s="8">
        <f t="shared" ref="P44:P56" si="9">85+50*LOG10(6/N44)</f>
        <v>76.195437047215933</v>
      </c>
      <c r="Q44" s="8">
        <f t="shared" si="7"/>
        <v>6.2469368304149953</v>
      </c>
      <c r="S44">
        <f t="shared" si="2"/>
        <v>0</v>
      </c>
    </row>
    <row r="45" spans="1:19" x14ac:dyDescent="0.25">
      <c r="A45" s="3">
        <v>44</v>
      </c>
      <c r="B45" s="4">
        <v>1037398</v>
      </c>
      <c r="C45" s="4">
        <v>45</v>
      </c>
      <c r="D45" s="4" t="s">
        <v>19</v>
      </c>
      <c r="E45" s="5">
        <v>45533</v>
      </c>
      <c r="F45" s="6">
        <v>45778</v>
      </c>
      <c r="G45" s="4" t="s">
        <v>8</v>
      </c>
      <c r="H45" s="3" t="s">
        <v>18</v>
      </c>
      <c r="I45" s="3">
        <v>1</v>
      </c>
      <c r="J45" s="3">
        <v>0</v>
      </c>
      <c r="K45" s="3">
        <v>1</v>
      </c>
      <c r="L45" s="3">
        <v>22</v>
      </c>
      <c r="M45" s="3">
        <v>180</v>
      </c>
      <c r="N45" s="3">
        <v>12</v>
      </c>
      <c r="O45" s="7">
        <f t="shared" si="8"/>
        <v>11.143937264016884</v>
      </c>
      <c r="P45" s="8">
        <f t="shared" si="9"/>
        <v>69.948500216800937</v>
      </c>
      <c r="Q45" s="8">
        <f t="shared" si="7"/>
        <v>58.804562952784053</v>
      </c>
      <c r="S45">
        <f t="shared" si="2"/>
        <v>0</v>
      </c>
    </row>
    <row r="46" spans="1:19" x14ac:dyDescent="0.25">
      <c r="A46" s="3">
        <v>45</v>
      </c>
      <c r="B46" s="4">
        <v>1024910</v>
      </c>
      <c r="C46" s="4">
        <v>61</v>
      </c>
      <c r="D46" s="4" t="s">
        <v>19</v>
      </c>
      <c r="E46" s="5">
        <v>45541</v>
      </c>
      <c r="F46" s="6">
        <v>45586</v>
      </c>
      <c r="G46" s="4" t="s">
        <v>8</v>
      </c>
      <c r="H46" s="3" t="s">
        <v>18</v>
      </c>
      <c r="I46" s="3">
        <v>1</v>
      </c>
      <c r="J46" s="3">
        <v>0</v>
      </c>
      <c r="K46" s="3">
        <v>1</v>
      </c>
      <c r="L46" s="3">
        <v>8</v>
      </c>
      <c r="M46" s="3">
        <v>18</v>
      </c>
      <c r="N46" s="3">
        <v>18</v>
      </c>
      <c r="O46" s="7">
        <f t="shared" si="8"/>
        <v>61.143937264016877</v>
      </c>
      <c r="P46" s="8">
        <f t="shared" si="9"/>
        <v>61.143937264016877</v>
      </c>
      <c r="Q46" s="8">
        <f t="shared" si="7"/>
        <v>0</v>
      </c>
      <c r="S46">
        <f t="shared" si="2"/>
        <v>0</v>
      </c>
    </row>
    <row r="47" spans="1:19" x14ac:dyDescent="0.25">
      <c r="A47" s="3">
        <v>46</v>
      </c>
      <c r="B47" s="4">
        <v>483528</v>
      </c>
      <c r="C47" s="4">
        <v>60</v>
      </c>
      <c r="D47" s="4" t="s">
        <v>19</v>
      </c>
      <c r="E47" s="5">
        <v>45552</v>
      </c>
      <c r="F47" s="6">
        <v>45821</v>
      </c>
      <c r="G47" s="4" t="s">
        <v>8</v>
      </c>
      <c r="H47" s="3" t="s">
        <v>22</v>
      </c>
      <c r="I47" s="3">
        <v>1</v>
      </c>
      <c r="J47" s="3">
        <v>0</v>
      </c>
      <c r="K47" s="3">
        <v>1</v>
      </c>
      <c r="L47" s="3">
        <v>10</v>
      </c>
      <c r="M47" s="3">
        <v>18</v>
      </c>
      <c r="N47" s="3">
        <v>120</v>
      </c>
      <c r="O47" s="7">
        <f t="shared" si="8"/>
        <v>61.143937264016877</v>
      </c>
      <c r="P47" s="8">
        <f t="shared" si="9"/>
        <v>19.948500216800937</v>
      </c>
      <c r="Q47" s="8">
        <f t="shared" si="7"/>
        <v>-41.19543704721594</v>
      </c>
      <c r="S47">
        <f t="shared" si="2"/>
        <v>1</v>
      </c>
    </row>
    <row r="48" spans="1:19" x14ac:dyDescent="0.25">
      <c r="A48" s="3">
        <v>47</v>
      </c>
      <c r="B48" s="4">
        <v>1035432</v>
      </c>
      <c r="C48" s="4">
        <v>63</v>
      </c>
      <c r="D48" s="4" t="s">
        <v>19</v>
      </c>
      <c r="E48" s="5">
        <v>45553</v>
      </c>
      <c r="F48" s="6">
        <v>45696</v>
      </c>
      <c r="G48" s="4" t="s">
        <v>8</v>
      </c>
      <c r="H48" s="3" t="s">
        <v>18</v>
      </c>
      <c r="I48" s="3">
        <v>2</v>
      </c>
      <c r="J48" s="3">
        <v>0</v>
      </c>
      <c r="K48" s="3">
        <v>2</v>
      </c>
      <c r="L48" s="3">
        <v>15</v>
      </c>
      <c r="M48" s="3">
        <v>24</v>
      </c>
      <c r="N48" s="3">
        <v>9</v>
      </c>
      <c r="O48" s="7">
        <f t="shared" si="8"/>
        <v>54.897000433601882</v>
      </c>
      <c r="P48" s="8">
        <f t="shared" si="9"/>
        <v>76.195437047215933</v>
      </c>
      <c r="Q48" s="8">
        <f t="shared" si="7"/>
        <v>21.298436613614051</v>
      </c>
      <c r="S48">
        <f t="shared" si="2"/>
        <v>0</v>
      </c>
    </row>
    <row r="49" spans="1:19" x14ac:dyDescent="0.25">
      <c r="A49" s="3">
        <v>48</v>
      </c>
      <c r="B49" s="4">
        <v>1038172</v>
      </c>
      <c r="C49" s="4">
        <v>64</v>
      </c>
      <c r="D49" s="4" t="s">
        <v>19</v>
      </c>
      <c r="E49" s="5">
        <v>45555</v>
      </c>
      <c r="F49" s="6">
        <v>45945</v>
      </c>
      <c r="G49" s="4" t="s">
        <v>8</v>
      </c>
      <c r="H49" s="3" t="s">
        <v>22</v>
      </c>
      <c r="I49" s="3">
        <v>4</v>
      </c>
      <c r="J49" s="3">
        <v>0</v>
      </c>
      <c r="K49" s="3">
        <v>4</v>
      </c>
      <c r="L49" s="3">
        <v>21</v>
      </c>
      <c r="M49" s="3">
        <v>12</v>
      </c>
      <c r="N49" s="3">
        <v>36</v>
      </c>
      <c r="O49" s="7">
        <f t="shared" si="8"/>
        <v>69.948500216800937</v>
      </c>
      <c r="P49" s="8">
        <f t="shared" si="9"/>
        <v>46.092437480817821</v>
      </c>
      <c r="Q49" s="8">
        <f t="shared" si="7"/>
        <v>-23.856062735983116</v>
      </c>
      <c r="S49">
        <f t="shared" si="2"/>
        <v>1</v>
      </c>
    </row>
    <row r="50" spans="1:19" x14ac:dyDescent="0.25">
      <c r="A50" s="3">
        <v>49</v>
      </c>
      <c r="B50" s="4">
        <v>3006322</v>
      </c>
      <c r="C50" s="4">
        <v>60</v>
      </c>
      <c r="D50" s="4" t="s">
        <v>17</v>
      </c>
      <c r="E50" s="5">
        <v>45560</v>
      </c>
      <c r="F50" s="6">
        <v>45611</v>
      </c>
      <c r="G50" s="4" t="s">
        <v>8</v>
      </c>
      <c r="H50" s="3" t="s">
        <v>18</v>
      </c>
      <c r="I50" s="3">
        <v>1</v>
      </c>
      <c r="J50" s="3">
        <v>0</v>
      </c>
      <c r="K50" s="3">
        <v>1</v>
      </c>
      <c r="L50" s="3">
        <v>3</v>
      </c>
      <c r="M50" s="3">
        <v>300</v>
      </c>
      <c r="N50" s="3">
        <v>6</v>
      </c>
      <c r="O50" s="7">
        <f t="shared" si="8"/>
        <v>5.1499783199062676E-2</v>
      </c>
      <c r="P50" s="8">
        <f t="shared" si="9"/>
        <v>85</v>
      </c>
      <c r="Q50" s="8">
        <f t="shared" si="7"/>
        <v>84.948500216800937</v>
      </c>
      <c r="S50">
        <f t="shared" si="2"/>
        <v>0</v>
      </c>
    </row>
    <row r="51" spans="1:19" x14ac:dyDescent="0.25">
      <c r="A51" s="3">
        <v>50</v>
      </c>
      <c r="B51" s="4">
        <v>1028075</v>
      </c>
      <c r="C51" s="4">
        <v>79</v>
      </c>
      <c r="D51" s="4" t="s">
        <v>17</v>
      </c>
      <c r="E51" s="5">
        <v>45560</v>
      </c>
      <c r="F51" s="6">
        <v>45568</v>
      </c>
      <c r="G51" s="4" t="s">
        <v>8</v>
      </c>
      <c r="H51" s="3" t="s">
        <v>18</v>
      </c>
      <c r="I51" s="3">
        <v>1</v>
      </c>
      <c r="J51" s="3">
        <v>0</v>
      </c>
      <c r="K51" s="3">
        <v>1</v>
      </c>
      <c r="L51" s="3">
        <v>3</v>
      </c>
      <c r="M51" s="3">
        <v>9</v>
      </c>
      <c r="N51" s="3">
        <v>36</v>
      </c>
      <c r="O51" s="7">
        <f t="shared" si="8"/>
        <v>76.195437047215933</v>
      </c>
      <c r="P51" s="8">
        <f t="shared" si="9"/>
        <v>46.092437480817821</v>
      </c>
      <c r="Q51" s="8">
        <f t="shared" si="7"/>
        <v>-30.102999566398111</v>
      </c>
      <c r="S51">
        <f t="shared" si="2"/>
        <v>1</v>
      </c>
    </row>
    <row r="52" spans="1:19" x14ac:dyDescent="0.25">
      <c r="A52" s="3">
        <v>51</v>
      </c>
      <c r="B52" s="4">
        <v>3072988</v>
      </c>
      <c r="C52" s="4">
        <v>42</v>
      </c>
      <c r="D52" s="4" t="s">
        <v>17</v>
      </c>
      <c r="E52" s="5">
        <v>45561</v>
      </c>
      <c r="F52" s="6">
        <v>45736</v>
      </c>
      <c r="G52" s="4" t="s">
        <v>8</v>
      </c>
      <c r="H52" s="3" t="s">
        <v>18</v>
      </c>
      <c r="I52" s="3">
        <v>1</v>
      </c>
      <c r="J52" s="3">
        <v>0</v>
      </c>
      <c r="K52" s="3">
        <v>1</v>
      </c>
      <c r="L52" s="3">
        <v>10</v>
      </c>
      <c r="M52" s="3">
        <v>24</v>
      </c>
      <c r="N52" s="3">
        <v>7.5</v>
      </c>
      <c r="O52" s="7">
        <f t="shared" si="8"/>
        <v>54.897000433601882</v>
      </c>
      <c r="P52" s="8">
        <f t="shared" si="9"/>
        <v>80.154499349597174</v>
      </c>
      <c r="Q52" s="8">
        <f t="shared" si="7"/>
        <v>25.257498915995292</v>
      </c>
      <c r="S52">
        <f t="shared" si="2"/>
        <v>0</v>
      </c>
    </row>
    <row r="53" spans="1:19" x14ac:dyDescent="0.25">
      <c r="A53" s="3">
        <v>52</v>
      </c>
      <c r="B53" s="4">
        <v>1038768</v>
      </c>
      <c r="C53" s="4">
        <v>63</v>
      </c>
      <c r="D53" s="4" t="s">
        <v>17</v>
      </c>
      <c r="E53" s="5">
        <v>45570</v>
      </c>
      <c r="F53" s="6">
        <v>45910</v>
      </c>
      <c r="G53" s="3" t="s">
        <v>8</v>
      </c>
      <c r="H53" s="3" t="s">
        <v>18</v>
      </c>
      <c r="I53" s="3">
        <v>1</v>
      </c>
      <c r="J53" s="3">
        <v>0</v>
      </c>
      <c r="K53" s="3">
        <v>1</v>
      </c>
      <c r="L53" s="3">
        <v>9</v>
      </c>
      <c r="M53" s="3">
        <v>24</v>
      </c>
      <c r="N53" s="3">
        <v>18</v>
      </c>
      <c r="O53" s="7">
        <f t="shared" si="8"/>
        <v>54.897000433601882</v>
      </c>
      <c r="P53" s="8">
        <f t="shared" si="9"/>
        <v>61.143937264016877</v>
      </c>
      <c r="Q53" s="8">
        <f t="shared" si="7"/>
        <v>6.2469368304149953</v>
      </c>
      <c r="S53">
        <f t="shared" si="2"/>
        <v>0</v>
      </c>
    </row>
    <row r="54" spans="1:19" x14ac:dyDescent="0.25">
      <c r="A54" s="3">
        <v>53</v>
      </c>
      <c r="B54" s="4">
        <v>424473</v>
      </c>
      <c r="C54" s="4">
        <v>71</v>
      </c>
      <c r="D54" s="4" t="s">
        <v>19</v>
      </c>
      <c r="E54" s="5">
        <v>45574</v>
      </c>
      <c r="F54" s="6">
        <v>45968</v>
      </c>
      <c r="G54" s="3" t="s">
        <v>8</v>
      </c>
      <c r="H54" s="3" t="s">
        <v>22</v>
      </c>
      <c r="I54" s="3">
        <v>2</v>
      </c>
      <c r="J54" s="3">
        <v>0</v>
      </c>
      <c r="K54" s="3">
        <v>2</v>
      </c>
      <c r="L54" s="3">
        <v>21</v>
      </c>
      <c r="M54" s="3" t="s">
        <v>23</v>
      </c>
      <c r="N54" s="3">
        <v>240</v>
      </c>
      <c r="O54" s="7">
        <v>0</v>
      </c>
      <c r="P54" s="8">
        <f t="shared" si="9"/>
        <v>4.8970004336018889</v>
      </c>
      <c r="Q54" s="8">
        <f t="shared" si="7"/>
        <v>4.8970004336018889</v>
      </c>
      <c r="S54">
        <f t="shared" si="2"/>
        <v>0</v>
      </c>
    </row>
    <row r="55" spans="1:19" x14ac:dyDescent="0.25">
      <c r="A55" s="3">
        <v>54</v>
      </c>
      <c r="B55" s="13">
        <v>1038703</v>
      </c>
      <c r="C55" s="4">
        <v>71</v>
      </c>
      <c r="D55" s="4" t="s">
        <v>19</v>
      </c>
      <c r="E55" s="5">
        <v>45575</v>
      </c>
      <c r="F55" s="6">
        <v>45681</v>
      </c>
      <c r="G55" s="3" t="s">
        <v>8</v>
      </c>
      <c r="H55" s="3" t="s">
        <v>22</v>
      </c>
      <c r="I55" s="3">
        <v>1</v>
      </c>
      <c r="J55" s="3">
        <v>0</v>
      </c>
      <c r="K55" s="3">
        <v>1</v>
      </c>
      <c r="L55" s="3">
        <v>6</v>
      </c>
      <c r="M55" s="3">
        <v>15</v>
      </c>
      <c r="N55" s="3">
        <v>9</v>
      </c>
      <c r="O55" s="7">
        <f>85+50*LOG10(6/M55)</f>
        <v>65.102999566398125</v>
      </c>
      <c r="P55" s="8">
        <f t="shared" si="9"/>
        <v>76.195437047215933</v>
      </c>
      <c r="Q55" s="8">
        <f t="shared" si="7"/>
        <v>11.092437480817807</v>
      </c>
      <c r="S55">
        <f t="shared" si="2"/>
        <v>0</v>
      </c>
    </row>
    <row r="56" spans="1:19" x14ac:dyDescent="0.25">
      <c r="A56" s="3">
        <v>55</v>
      </c>
      <c r="B56" s="4">
        <v>265749</v>
      </c>
      <c r="C56" s="4">
        <v>57</v>
      </c>
      <c r="D56" s="4" t="s">
        <v>19</v>
      </c>
      <c r="E56" s="5">
        <v>45583</v>
      </c>
      <c r="F56" s="6">
        <v>45772</v>
      </c>
      <c r="G56" s="3" t="s">
        <v>8</v>
      </c>
      <c r="H56" s="3" t="s">
        <v>18</v>
      </c>
      <c r="I56" s="3">
        <v>1</v>
      </c>
      <c r="J56" s="3">
        <v>0</v>
      </c>
      <c r="K56" s="3">
        <v>1</v>
      </c>
      <c r="L56" s="3">
        <v>10</v>
      </c>
      <c r="M56" s="3">
        <v>240</v>
      </c>
      <c r="N56" s="3">
        <v>18</v>
      </c>
      <c r="O56" s="7">
        <f>85+50*LOG10(6/M56)</f>
        <v>4.8970004336018889</v>
      </c>
      <c r="P56" s="8">
        <f t="shared" si="9"/>
        <v>61.143937264016877</v>
      </c>
      <c r="Q56" s="8">
        <f t="shared" si="7"/>
        <v>56.246936830414988</v>
      </c>
      <c r="S56">
        <f t="shared" si="2"/>
        <v>0</v>
      </c>
    </row>
    <row r="57" spans="1:19" x14ac:dyDescent="0.25">
      <c r="A57" s="3">
        <v>56</v>
      </c>
      <c r="B57" s="4">
        <v>1039081</v>
      </c>
      <c r="C57" s="4">
        <v>58</v>
      </c>
      <c r="D57" s="4" t="s">
        <v>17</v>
      </c>
      <c r="E57" s="5">
        <v>45582</v>
      </c>
      <c r="F57" s="6">
        <v>46002</v>
      </c>
      <c r="G57" s="3" t="s">
        <v>8</v>
      </c>
      <c r="H57" s="3" t="s">
        <v>18</v>
      </c>
      <c r="I57" s="3">
        <v>2</v>
      </c>
      <c r="J57" s="3">
        <v>0</v>
      </c>
      <c r="K57" s="3">
        <v>2</v>
      </c>
      <c r="L57" s="3">
        <v>24</v>
      </c>
      <c r="M57" s="3" t="s">
        <v>23</v>
      </c>
      <c r="N57" s="3" t="s">
        <v>23</v>
      </c>
      <c r="O57" s="7">
        <v>0</v>
      </c>
      <c r="P57" s="8">
        <v>0</v>
      </c>
      <c r="Q57" s="8">
        <f t="shared" si="7"/>
        <v>0</v>
      </c>
      <c r="S57">
        <f t="shared" si="2"/>
        <v>0</v>
      </c>
    </row>
    <row r="58" spans="1:19" x14ac:dyDescent="0.25">
      <c r="A58" s="3">
        <v>57</v>
      </c>
      <c r="B58" s="4">
        <v>1039081</v>
      </c>
      <c r="C58" s="4">
        <v>58</v>
      </c>
      <c r="D58" s="4" t="s">
        <v>17</v>
      </c>
      <c r="E58" s="5">
        <v>45582</v>
      </c>
      <c r="F58" s="6">
        <v>46002</v>
      </c>
      <c r="G58" s="3" t="s">
        <v>8</v>
      </c>
      <c r="H58" s="3" t="s">
        <v>22</v>
      </c>
      <c r="I58" s="3">
        <v>3</v>
      </c>
      <c r="J58" s="3">
        <v>0</v>
      </c>
      <c r="K58" s="3">
        <v>3</v>
      </c>
      <c r="L58" s="3">
        <v>24</v>
      </c>
      <c r="M58" s="3">
        <v>36</v>
      </c>
      <c r="N58" s="3">
        <v>60</v>
      </c>
      <c r="O58" s="7">
        <f>85+50*LOG10(6/M58)</f>
        <v>46.092437480817821</v>
      </c>
      <c r="P58" s="8">
        <f>85+50*LOG10(6/N58)</f>
        <v>35</v>
      </c>
      <c r="Q58" s="8">
        <f t="shared" si="7"/>
        <v>-11.092437480817821</v>
      </c>
      <c r="S58">
        <f t="shared" si="2"/>
        <v>1</v>
      </c>
    </row>
    <row r="59" spans="1:19" x14ac:dyDescent="0.25">
      <c r="A59" s="3">
        <v>58</v>
      </c>
      <c r="B59" s="4">
        <v>265960</v>
      </c>
      <c r="C59" s="4">
        <v>46</v>
      </c>
      <c r="D59" s="4" t="s">
        <v>19</v>
      </c>
      <c r="E59" s="5">
        <v>45586</v>
      </c>
      <c r="F59" s="6">
        <v>45933</v>
      </c>
      <c r="G59" s="3" t="s">
        <v>8</v>
      </c>
      <c r="H59" s="3" t="s">
        <v>22</v>
      </c>
      <c r="I59" s="3">
        <v>3</v>
      </c>
      <c r="J59" s="3">
        <v>0</v>
      </c>
      <c r="K59" s="3">
        <v>3</v>
      </c>
      <c r="L59" s="3">
        <v>18</v>
      </c>
      <c r="M59" s="3">
        <v>180</v>
      </c>
      <c r="N59" s="3">
        <v>24</v>
      </c>
      <c r="O59" s="7">
        <f>85+50*LOG10(6/M59)</f>
        <v>11.143937264016884</v>
      </c>
      <c r="P59" s="8">
        <f>85+50*LOG10(6/N59)</f>
        <v>54.897000433601882</v>
      </c>
      <c r="Q59" s="8">
        <f t="shared" si="7"/>
        <v>43.753063169584998</v>
      </c>
      <c r="S59">
        <f t="shared" si="2"/>
        <v>0</v>
      </c>
    </row>
    <row r="60" spans="1:19" x14ac:dyDescent="0.25">
      <c r="A60" s="3">
        <v>59</v>
      </c>
      <c r="B60" s="4">
        <v>1039364</v>
      </c>
      <c r="C60" s="4">
        <v>53</v>
      </c>
      <c r="D60" s="4" t="s">
        <v>17</v>
      </c>
      <c r="E60" s="5">
        <v>45598</v>
      </c>
      <c r="F60" s="6">
        <v>45948</v>
      </c>
      <c r="G60" s="4" t="s">
        <v>8</v>
      </c>
      <c r="H60" s="3" t="s">
        <v>22</v>
      </c>
      <c r="I60" s="3">
        <v>2</v>
      </c>
      <c r="J60" s="3">
        <v>0</v>
      </c>
      <c r="K60" s="3">
        <v>2</v>
      </c>
      <c r="L60" s="3">
        <v>23</v>
      </c>
      <c r="M60" s="3">
        <v>60</v>
      </c>
      <c r="N60" s="3" t="s">
        <v>39</v>
      </c>
      <c r="O60" s="7">
        <f>85+50*LOG10(6/M60)</f>
        <v>35</v>
      </c>
      <c r="P60" s="8">
        <v>0</v>
      </c>
      <c r="Q60" s="8">
        <f t="shared" si="7"/>
        <v>-35</v>
      </c>
      <c r="S60">
        <f t="shared" si="2"/>
        <v>1</v>
      </c>
    </row>
    <row r="61" spans="1:19" x14ac:dyDescent="0.25">
      <c r="A61" s="3">
        <v>60</v>
      </c>
      <c r="B61" s="4">
        <v>1039887</v>
      </c>
      <c r="C61" s="4">
        <v>65</v>
      </c>
      <c r="D61" s="4" t="s">
        <v>17</v>
      </c>
      <c r="E61" s="5">
        <v>45607</v>
      </c>
      <c r="F61" s="6">
        <v>45635</v>
      </c>
      <c r="G61" s="4" t="s">
        <v>8</v>
      </c>
      <c r="H61" s="3" t="s">
        <v>18</v>
      </c>
      <c r="I61" s="3">
        <v>1</v>
      </c>
      <c r="J61" s="3">
        <v>0</v>
      </c>
      <c r="K61" s="3">
        <v>1</v>
      </c>
      <c r="L61" s="3">
        <v>2</v>
      </c>
      <c r="M61" s="3">
        <v>240</v>
      </c>
      <c r="N61" s="3">
        <v>240</v>
      </c>
      <c r="O61" s="7">
        <f>85+50*LOG10(6/M61)</f>
        <v>4.8970004336018889</v>
      </c>
      <c r="P61" s="8">
        <f>85+50*LOG10(6/N61)</f>
        <v>4.8970004336018889</v>
      </c>
      <c r="Q61" s="8">
        <f t="shared" si="7"/>
        <v>0</v>
      </c>
      <c r="S61">
        <f t="shared" si="2"/>
        <v>0</v>
      </c>
    </row>
    <row r="62" spans="1:19" x14ac:dyDescent="0.25">
      <c r="A62" s="3">
        <v>61</v>
      </c>
      <c r="B62" s="4">
        <v>259482</v>
      </c>
      <c r="C62" s="4">
        <v>62</v>
      </c>
      <c r="D62" s="4" t="s">
        <v>17</v>
      </c>
      <c r="E62" s="5">
        <v>45583</v>
      </c>
      <c r="F62" s="6">
        <v>46001</v>
      </c>
      <c r="G62" s="4" t="s">
        <v>8</v>
      </c>
      <c r="H62" s="3" t="s">
        <v>18</v>
      </c>
      <c r="I62" s="3">
        <v>1</v>
      </c>
      <c r="J62" s="3">
        <v>0</v>
      </c>
      <c r="K62" s="3">
        <v>1</v>
      </c>
      <c r="L62" s="3">
        <v>27</v>
      </c>
      <c r="M62" s="3" t="s">
        <v>23</v>
      </c>
      <c r="N62" s="3">
        <v>24</v>
      </c>
      <c r="O62" s="7">
        <v>0</v>
      </c>
      <c r="P62" s="8">
        <f>85+50*LOG10(6/N62)</f>
        <v>54.897000433601882</v>
      </c>
      <c r="Q62" s="8">
        <f t="shared" si="7"/>
        <v>54.897000433601882</v>
      </c>
      <c r="S62">
        <f t="shared" si="2"/>
        <v>0</v>
      </c>
    </row>
    <row r="63" spans="1:19" x14ac:dyDescent="0.25">
      <c r="A63" s="3">
        <v>62</v>
      </c>
      <c r="B63" s="4">
        <v>266136</v>
      </c>
      <c r="C63" s="4">
        <v>44</v>
      </c>
      <c r="D63" s="4" t="s">
        <v>17</v>
      </c>
      <c r="E63" s="5">
        <v>45609</v>
      </c>
      <c r="F63" s="6">
        <v>45979</v>
      </c>
      <c r="G63" s="4" t="s">
        <v>8</v>
      </c>
      <c r="H63" s="3" t="s">
        <v>18</v>
      </c>
      <c r="I63" s="3">
        <v>1</v>
      </c>
      <c r="J63" s="3">
        <v>0</v>
      </c>
      <c r="K63" s="3">
        <v>1</v>
      </c>
      <c r="L63" s="3">
        <v>17</v>
      </c>
      <c r="M63" s="3">
        <v>60</v>
      </c>
      <c r="N63" s="3">
        <v>12</v>
      </c>
      <c r="O63" s="7">
        <f t="shared" ref="O63:O71" si="10">85+50*LOG10(6/M63)</f>
        <v>35</v>
      </c>
      <c r="P63" s="8">
        <f>85+50*LOG10(6/N63)</f>
        <v>69.948500216800937</v>
      </c>
      <c r="Q63" s="8">
        <f t="shared" si="7"/>
        <v>34.948500216800937</v>
      </c>
      <c r="S63">
        <f t="shared" si="2"/>
        <v>0</v>
      </c>
    </row>
    <row r="64" spans="1:19" x14ac:dyDescent="0.25">
      <c r="A64" s="3">
        <v>63</v>
      </c>
      <c r="B64" s="4">
        <v>266136</v>
      </c>
      <c r="C64" s="4">
        <v>44</v>
      </c>
      <c r="D64" s="4" t="s">
        <v>17</v>
      </c>
      <c r="E64" s="5">
        <v>45609</v>
      </c>
      <c r="F64" s="6">
        <v>45979</v>
      </c>
      <c r="G64" s="4" t="s">
        <v>8</v>
      </c>
      <c r="H64" s="3" t="s">
        <v>22</v>
      </c>
      <c r="I64" s="3">
        <v>1</v>
      </c>
      <c r="J64" s="3">
        <v>0</v>
      </c>
      <c r="K64" s="3">
        <v>1</v>
      </c>
      <c r="L64" s="3">
        <v>17</v>
      </c>
      <c r="M64" s="3">
        <v>6</v>
      </c>
      <c r="N64" s="3">
        <v>12</v>
      </c>
      <c r="O64" s="7">
        <f t="shared" si="10"/>
        <v>85</v>
      </c>
      <c r="P64" s="8">
        <f>85+50*LOG10(6/N64)</f>
        <v>69.948500216800937</v>
      </c>
      <c r="Q64" s="8">
        <f t="shared" si="7"/>
        <v>-15.051499783199063</v>
      </c>
      <c r="S64">
        <f t="shared" si="2"/>
        <v>1</v>
      </c>
    </row>
    <row r="65" spans="1:19" x14ac:dyDescent="0.25">
      <c r="A65" s="3">
        <v>64</v>
      </c>
      <c r="B65" s="4">
        <v>3075829</v>
      </c>
      <c r="C65" s="4">
        <v>53</v>
      </c>
      <c r="D65" s="4" t="s">
        <v>19</v>
      </c>
      <c r="E65" s="5">
        <v>45611</v>
      </c>
      <c r="F65" s="6">
        <v>45985</v>
      </c>
      <c r="G65" s="4" t="s">
        <v>8</v>
      </c>
      <c r="H65" s="3" t="s">
        <v>18</v>
      </c>
      <c r="I65" s="3">
        <v>3</v>
      </c>
      <c r="J65" s="3">
        <v>0</v>
      </c>
      <c r="K65" s="3">
        <v>3</v>
      </c>
      <c r="L65" s="3">
        <v>26</v>
      </c>
      <c r="M65" s="3">
        <v>36</v>
      </c>
      <c r="N65" s="3" t="s">
        <v>23</v>
      </c>
      <c r="O65" s="7">
        <f t="shared" si="10"/>
        <v>46.092437480817821</v>
      </c>
      <c r="P65" s="8">
        <v>0</v>
      </c>
      <c r="Q65" s="8">
        <f t="shared" si="7"/>
        <v>-46.092437480817821</v>
      </c>
      <c r="S65">
        <f t="shared" si="2"/>
        <v>1</v>
      </c>
    </row>
    <row r="66" spans="1:19" x14ac:dyDescent="0.25">
      <c r="A66" s="3">
        <v>65</v>
      </c>
      <c r="B66" s="4">
        <v>3075829</v>
      </c>
      <c r="C66" s="4">
        <v>53</v>
      </c>
      <c r="D66" s="4" t="s">
        <v>19</v>
      </c>
      <c r="E66" s="5">
        <v>45611</v>
      </c>
      <c r="F66" s="6">
        <v>45985</v>
      </c>
      <c r="G66" s="4" t="s">
        <v>8</v>
      </c>
      <c r="H66" s="3" t="s">
        <v>22</v>
      </c>
      <c r="I66" s="3">
        <v>1</v>
      </c>
      <c r="J66" s="3">
        <v>0</v>
      </c>
      <c r="K66" s="3">
        <v>1</v>
      </c>
      <c r="L66" s="3">
        <v>26</v>
      </c>
      <c r="M66" s="3">
        <v>60</v>
      </c>
      <c r="N66" s="3">
        <v>12</v>
      </c>
      <c r="O66" s="7">
        <f t="shared" si="10"/>
        <v>35</v>
      </c>
      <c r="P66" s="8">
        <f t="shared" ref="P66:P78" si="11">85+50*LOG10(6/N66)</f>
        <v>69.948500216800937</v>
      </c>
      <c r="Q66" s="8">
        <f t="shared" ref="Q66:Q97" si="12">P66-O66</f>
        <v>34.948500216800937</v>
      </c>
      <c r="S66">
        <f t="shared" si="2"/>
        <v>0</v>
      </c>
    </row>
    <row r="67" spans="1:19" x14ac:dyDescent="0.25">
      <c r="A67" s="3">
        <v>66</v>
      </c>
      <c r="B67" s="4" t="s">
        <v>40</v>
      </c>
      <c r="C67" s="4">
        <v>43</v>
      </c>
      <c r="D67" s="4" t="s">
        <v>17</v>
      </c>
      <c r="E67" s="5">
        <v>45391</v>
      </c>
      <c r="F67" s="6">
        <v>45659</v>
      </c>
      <c r="G67" s="4" t="s">
        <v>8</v>
      </c>
      <c r="H67" s="3" t="s">
        <v>22</v>
      </c>
      <c r="I67" s="3">
        <v>1</v>
      </c>
      <c r="J67" s="3">
        <v>0</v>
      </c>
      <c r="K67" s="3">
        <v>1</v>
      </c>
      <c r="L67" s="3">
        <v>8</v>
      </c>
      <c r="M67" s="3">
        <v>18</v>
      </c>
      <c r="N67" s="3">
        <v>18</v>
      </c>
      <c r="O67" s="7">
        <f t="shared" si="10"/>
        <v>61.143937264016877</v>
      </c>
      <c r="P67" s="8">
        <f t="shared" si="11"/>
        <v>61.143937264016877</v>
      </c>
      <c r="Q67" s="8">
        <f t="shared" si="12"/>
        <v>0</v>
      </c>
      <c r="S67">
        <f t="shared" ref="S67:S130" si="13">COUNTIF(Q67,"&lt;0")</f>
        <v>0</v>
      </c>
    </row>
    <row r="68" spans="1:19" x14ac:dyDescent="0.25">
      <c r="A68" s="3">
        <v>67</v>
      </c>
      <c r="B68" s="4">
        <v>497921</v>
      </c>
      <c r="C68" s="4">
        <v>47</v>
      </c>
      <c r="D68" s="4" t="s">
        <v>17</v>
      </c>
      <c r="E68" s="5">
        <v>45434</v>
      </c>
      <c r="F68" s="6">
        <v>45646</v>
      </c>
      <c r="G68" s="4" t="s">
        <v>8</v>
      </c>
      <c r="H68" s="3" t="s">
        <v>22</v>
      </c>
      <c r="I68" s="3">
        <v>1</v>
      </c>
      <c r="J68" s="3">
        <v>0</v>
      </c>
      <c r="K68" s="3">
        <v>1</v>
      </c>
      <c r="L68" s="3">
        <v>8</v>
      </c>
      <c r="M68" s="3">
        <v>24</v>
      </c>
      <c r="N68" s="3">
        <v>36</v>
      </c>
      <c r="O68" s="7">
        <f t="shared" si="10"/>
        <v>54.897000433601882</v>
      </c>
      <c r="P68" s="8">
        <f t="shared" si="11"/>
        <v>46.092437480817821</v>
      </c>
      <c r="Q68" s="8">
        <f t="shared" si="12"/>
        <v>-8.8045629527840603</v>
      </c>
      <c r="S68">
        <f t="shared" si="13"/>
        <v>1</v>
      </c>
    </row>
    <row r="69" spans="1:19" x14ac:dyDescent="0.25">
      <c r="A69" s="3">
        <v>68</v>
      </c>
      <c r="B69" s="4">
        <v>1040274</v>
      </c>
      <c r="C69" s="4">
        <v>43</v>
      </c>
      <c r="D69" s="4" t="s">
        <v>19</v>
      </c>
      <c r="E69" s="5">
        <v>45618</v>
      </c>
      <c r="F69" s="6">
        <v>45631</v>
      </c>
      <c r="G69" s="4" t="s">
        <v>8</v>
      </c>
      <c r="H69" s="3" t="s">
        <v>18</v>
      </c>
      <c r="I69" s="3">
        <v>1</v>
      </c>
      <c r="J69" s="3">
        <v>0</v>
      </c>
      <c r="K69" s="3">
        <v>1</v>
      </c>
      <c r="L69" s="3">
        <v>5</v>
      </c>
      <c r="M69" s="3">
        <v>12</v>
      </c>
      <c r="N69" s="3">
        <v>36</v>
      </c>
      <c r="O69" s="7">
        <f t="shared" si="10"/>
        <v>69.948500216800937</v>
      </c>
      <c r="P69" s="8">
        <f t="shared" si="11"/>
        <v>46.092437480817821</v>
      </c>
      <c r="Q69" s="8">
        <f t="shared" si="12"/>
        <v>-23.856062735983116</v>
      </c>
      <c r="S69">
        <f t="shared" si="13"/>
        <v>1</v>
      </c>
    </row>
    <row r="70" spans="1:19" x14ac:dyDescent="0.25">
      <c r="A70" s="3">
        <v>69</v>
      </c>
      <c r="B70" s="4">
        <v>415649</v>
      </c>
      <c r="C70" s="4">
        <v>74</v>
      </c>
      <c r="D70" s="4" t="s">
        <v>19</v>
      </c>
      <c r="E70" s="5">
        <v>45608</v>
      </c>
      <c r="F70" s="6">
        <v>45793</v>
      </c>
      <c r="G70" s="4" t="s">
        <v>8</v>
      </c>
      <c r="H70" s="3" t="s">
        <v>22</v>
      </c>
      <c r="I70" s="3">
        <v>1</v>
      </c>
      <c r="J70" s="3">
        <v>0</v>
      </c>
      <c r="K70" s="3">
        <v>1</v>
      </c>
      <c r="L70" s="3">
        <v>9</v>
      </c>
      <c r="M70" s="3">
        <v>18</v>
      </c>
      <c r="N70" s="3">
        <v>12</v>
      </c>
      <c r="O70" s="7">
        <f t="shared" si="10"/>
        <v>61.143937264016877</v>
      </c>
      <c r="P70" s="8">
        <f t="shared" si="11"/>
        <v>69.948500216800937</v>
      </c>
      <c r="Q70" s="8">
        <f t="shared" si="12"/>
        <v>8.8045629527840603</v>
      </c>
      <c r="S70">
        <f t="shared" si="13"/>
        <v>0</v>
      </c>
    </row>
    <row r="71" spans="1:19" x14ac:dyDescent="0.25">
      <c r="A71" s="3">
        <v>70</v>
      </c>
      <c r="B71" s="4">
        <v>4000604</v>
      </c>
      <c r="C71" s="4">
        <v>54</v>
      </c>
      <c r="D71" s="4" t="s">
        <v>17</v>
      </c>
      <c r="E71" s="5">
        <v>45524</v>
      </c>
      <c r="F71" s="6">
        <v>45807</v>
      </c>
      <c r="G71" s="4" t="s">
        <v>8</v>
      </c>
      <c r="H71" s="3" t="s">
        <v>22</v>
      </c>
      <c r="I71" s="3">
        <v>1</v>
      </c>
      <c r="J71" s="3">
        <v>0</v>
      </c>
      <c r="K71" s="3">
        <v>1</v>
      </c>
      <c r="L71" s="3">
        <v>15</v>
      </c>
      <c r="M71" s="3">
        <v>120</v>
      </c>
      <c r="N71" s="3">
        <v>60</v>
      </c>
      <c r="O71" s="7">
        <f t="shared" si="10"/>
        <v>19.948500216800937</v>
      </c>
      <c r="P71" s="8">
        <f t="shared" si="11"/>
        <v>35</v>
      </c>
      <c r="Q71" s="8">
        <f t="shared" si="12"/>
        <v>15.051499783199063</v>
      </c>
      <c r="S71">
        <f t="shared" si="13"/>
        <v>0</v>
      </c>
    </row>
    <row r="72" spans="1:19" x14ac:dyDescent="0.25">
      <c r="A72" s="3">
        <v>71</v>
      </c>
      <c r="B72" s="4">
        <v>4002986</v>
      </c>
      <c r="C72" s="4">
        <v>58</v>
      </c>
      <c r="D72" s="4" t="s">
        <v>19</v>
      </c>
      <c r="E72" s="5">
        <v>45636</v>
      </c>
      <c r="F72" s="6">
        <v>45728</v>
      </c>
      <c r="G72" s="3" t="s">
        <v>8</v>
      </c>
      <c r="H72" s="3" t="s">
        <v>18</v>
      </c>
      <c r="I72" s="3">
        <v>1</v>
      </c>
      <c r="J72" s="3">
        <v>0</v>
      </c>
      <c r="K72" s="3">
        <v>1</v>
      </c>
      <c r="L72" s="3">
        <v>7</v>
      </c>
      <c r="M72" s="3" t="s">
        <v>23</v>
      </c>
      <c r="N72" s="3">
        <v>240</v>
      </c>
      <c r="O72" s="7">
        <v>0</v>
      </c>
      <c r="P72" s="8">
        <f t="shared" si="11"/>
        <v>4.8970004336018889</v>
      </c>
      <c r="Q72" s="8">
        <f t="shared" si="12"/>
        <v>4.8970004336018889</v>
      </c>
      <c r="S72">
        <f t="shared" si="13"/>
        <v>0</v>
      </c>
    </row>
    <row r="73" spans="1:19" x14ac:dyDescent="0.25">
      <c r="A73" s="3">
        <v>72</v>
      </c>
      <c r="B73" s="4">
        <v>4002986</v>
      </c>
      <c r="C73" s="4">
        <v>58</v>
      </c>
      <c r="D73" s="4" t="s">
        <v>19</v>
      </c>
      <c r="E73" s="5">
        <v>45636</v>
      </c>
      <c r="F73" s="6">
        <v>45728</v>
      </c>
      <c r="G73" s="3" t="s">
        <v>8</v>
      </c>
      <c r="H73" s="3" t="s">
        <v>22</v>
      </c>
      <c r="I73" s="3">
        <v>1</v>
      </c>
      <c r="J73" s="3">
        <v>0</v>
      </c>
      <c r="K73" s="3">
        <v>1</v>
      </c>
      <c r="L73" s="3">
        <v>7</v>
      </c>
      <c r="M73" s="3">
        <v>9</v>
      </c>
      <c r="N73" s="3">
        <v>9</v>
      </c>
      <c r="O73" s="7">
        <f t="shared" ref="O73:O79" si="14">85+50*LOG10(6/M73)</f>
        <v>76.195437047215933</v>
      </c>
      <c r="P73" s="8">
        <f t="shared" si="11"/>
        <v>76.195437047215933</v>
      </c>
      <c r="Q73" s="8">
        <f t="shared" si="12"/>
        <v>0</v>
      </c>
      <c r="S73">
        <f t="shared" si="13"/>
        <v>0</v>
      </c>
    </row>
    <row r="74" spans="1:19" x14ac:dyDescent="0.25">
      <c r="A74" s="3">
        <v>73</v>
      </c>
      <c r="B74" s="4">
        <v>509041</v>
      </c>
      <c r="C74" s="4">
        <v>40</v>
      </c>
      <c r="D74" s="4" t="s">
        <v>19</v>
      </c>
      <c r="E74" s="5">
        <v>45588</v>
      </c>
      <c r="F74" s="6">
        <v>45649</v>
      </c>
      <c r="G74" s="3" t="s">
        <v>8</v>
      </c>
      <c r="H74" s="3" t="s">
        <v>22</v>
      </c>
      <c r="I74" s="3">
        <v>1</v>
      </c>
      <c r="J74" s="3">
        <v>0</v>
      </c>
      <c r="K74" s="3">
        <v>1</v>
      </c>
      <c r="L74" s="3">
        <v>6</v>
      </c>
      <c r="M74" s="3">
        <v>300</v>
      </c>
      <c r="N74" s="3">
        <v>60</v>
      </c>
      <c r="O74" s="7">
        <f t="shared" si="14"/>
        <v>5.1499783199062676E-2</v>
      </c>
      <c r="P74" s="8">
        <f t="shared" si="11"/>
        <v>35</v>
      </c>
      <c r="Q74" s="8">
        <f t="shared" si="12"/>
        <v>34.948500216800937</v>
      </c>
      <c r="S74">
        <f t="shared" si="13"/>
        <v>0</v>
      </c>
    </row>
    <row r="75" spans="1:19" x14ac:dyDescent="0.25">
      <c r="A75" s="3">
        <v>74</v>
      </c>
      <c r="B75" s="4">
        <v>250720</v>
      </c>
      <c r="C75" s="4">
        <v>43</v>
      </c>
      <c r="D75" s="4" t="s">
        <v>19</v>
      </c>
      <c r="E75" s="5">
        <v>45618</v>
      </c>
      <c r="F75" s="6">
        <v>45744</v>
      </c>
      <c r="G75" s="3" t="s">
        <v>8</v>
      </c>
      <c r="H75" s="3" t="s">
        <v>18</v>
      </c>
      <c r="I75" s="3">
        <v>1</v>
      </c>
      <c r="J75" s="3">
        <v>0</v>
      </c>
      <c r="K75" s="3">
        <v>1</v>
      </c>
      <c r="L75" s="3">
        <v>8</v>
      </c>
      <c r="M75" s="3">
        <v>300</v>
      </c>
      <c r="N75" s="3">
        <v>6</v>
      </c>
      <c r="O75" s="7">
        <f t="shared" si="14"/>
        <v>5.1499783199062676E-2</v>
      </c>
      <c r="P75" s="8">
        <f t="shared" si="11"/>
        <v>85</v>
      </c>
      <c r="Q75" s="8">
        <f t="shared" si="12"/>
        <v>84.948500216800937</v>
      </c>
      <c r="S75">
        <f t="shared" si="13"/>
        <v>0</v>
      </c>
    </row>
    <row r="76" spans="1:19" x14ac:dyDescent="0.25">
      <c r="A76" s="3">
        <v>75</v>
      </c>
      <c r="B76" s="4" t="s">
        <v>45</v>
      </c>
      <c r="C76" s="4">
        <v>64</v>
      </c>
      <c r="D76" s="4" t="s">
        <v>19</v>
      </c>
      <c r="E76" s="5">
        <v>45623</v>
      </c>
      <c r="F76" s="6">
        <v>45655</v>
      </c>
      <c r="G76" s="3" t="s">
        <v>8</v>
      </c>
      <c r="H76" s="3" t="s">
        <v>18</v>
      </c>
      <c r="I76" s="3">
        <v>1</v>
      </c>
      <c r="J76" s="3">
        <v>0</v>
      </c>
      <c r="K76" s="3">
        <v>1</v>
      </c>
      <c r="L76" s="3">
        <v>7</v>
      </c>
      <c r="M76" s="3">
        <v>9</v>
      </c>
      <c r="N76" s="3">
        <v>180</v>
      </c>
      <c r="O76" s="7">
        <f t="shared" si="14"/>
        <v>76.195437047215933</v>
      </c>
      <c r="P76" s="8">
        <f t="shared" si="11"/>
        <v>11.143937264016884</v>
      </c>
      <c r="Q76" s="8">
        <f t="shared" si="12"/>
        <v>-65.051499783199048</v>
      </c>
      <c r="S76">
        <f t="shared" si="13"/>
        <v>1</v>
      </c>
    </row>
    <row r="77" spans="1:19" x14ac:dyDescent="0.25">
      <c r="A77" s="3">
        <v>76</v>
      </c>
      <c r="B77" s="4">
        <v>542686</v>
      </c>
      <c r="C77" s="4">
        <v>66</v>
      </c>
      <c r="D77" s="4" t="s">
        <v>19</v>
      </c>
      <c r="E77" s="5">
        <v>45631</v>
      </c>
      <c r="F77" s="6">
        <v>45832</v>
      </c>
      <c r="G77" s="3" t="s">
        <v>8</v>
      </c>
      <c r="H77" s="3" t="s">
        <v>18</v>
      </c>
      <c r="I77" s="3">
        <v>2</v>
      </c>
      <c r="J77" s="3">
        <v>0</v>
      </c>
      <c r="K77" s="3">
        <v>2</v>
      </c>
      <c r="L77" s="3">
        <v>15</v>
      </c>
      <c r="M77" s="3">
        <v>300</v>
      </c>
      <c r="N77" s="3">
        <v>9</v>
      </c>
      <c r="O77" s="7">
        <f t="shared" si="14"/>
        <v>5.1499783199062676E-2</v>
      </c>
      <c r="P77" s="8">
        <f t="shared" si="11"/>
        <v>76.195437047215933</v>
      </c>
      <c r="Q77" s="8">
        <f t="shared" si="12"/>
        <v>76.14393726401687</v>
      </c>
      <c r="S77">
        <f t="shared" si="13"/>
        <v>0</v>
      </c>
    </row>
    <row r="78" spans="1:19" x14ac:dyDescent="0.25">
      <c r="A78" s="3">
        <v>77</v>
      </c>
      <c r="B78" s="4">
        <v>266587</v>
      </c>
      <c r="C78" s="4">
        <v>66</v>
      </c>
      <c r="D78" s="4" t="s">
        <v>17</v>
      </c>
      <c r="E78" s="5">
        <v>45639</v>
      </c>
      <c r="F78" s="6">
        <v>45707</v>
      </c>
      <c r="G78" s="3" t="s">
        <v>8</v>
      </c>
      <c r="H78" s="3" t="s">
        <v>22</v>
      </c>
      <c r="I78" s="3">
        <v>1</v>
      </c>
      <c r="J78" s="3">
        <v>0</v>
      </c>
      <c r="K78" s="3">
        <v>1</v>
      </c>
      <c r="L78" s="3">
        <v>6</v>
      </c>
      <c r="M78" s="3">
        <v>60</v>
      </c>
      <c r="N78" s="3">
        <v>60</v>
      </c>
      <c r="O78" s="7">
        <f t="shared" si="14"/>
        <v>35</v>
      </c>
      <c r="P78" s="8">
        <f t="shared" si="11"/>
        <v>35</v>
      </c>
      <c r="Q78" s="8">
        <f t="shared" si="12"/>
        <v>0</v>
      </c>
      <c r="S78">
        <f t="shared" si="13"/>
        <v>0</v>
      </c>
    </row>
    <row r="79" spans="1:19" x14ac:dyDescent="0.25">
      <c r="A79" s="3">
        <v>78</v>
      </c>
      <c r="B79" s="4">
        <v>1041151</v>
      </c>
      <c r="C79" s="4">
        <v>57</v>
      </c>
      <c r="D79" s="4" t="s">
        <v>47</v>
      </c>
      <c r="E79" s="5">
        <v>45681</v>
      </c>
      <c r="F79" s="6">
        <v>46003</v>
      </c>
      <c r="G79" s="4" t="s">
        <v>8</v>
      </c>
      <c r="H79" s="3" t="s">
        <v>22</v>
      </c>
      <c r="I79" s="3">
        <v>2</v>
      </c>
      <c r="J79" s="3">
        <v>0</v>
      </c>
      <c r="K79" s="3">
        <v>2</v>
      </c>
      <c r="L79" s="3">
        <v>20</v>
      </c>
      <c r="M79" s="3">
        <v>60</v>
      </c>
      <c r="N79" s="3" t="s">
        <v>48</v>
      </c>
      <c r="O79" s="7">
        <f t="shared" si="14"/>
        <v>35</v>
      </c>
      <c r="P79" s="8">
        <v>0</v>
      </c>
      <c r="Q79" s="8">
        <f t="shared" si="12"/>
        <v>-35</v>
      </c>
      <c r="S79">
        <f t="shared" si="13"/>
        <v>1</v>
      </c>
    </row>
    <row r="80" spans="1:19" x14ac:dyDescent="0.25">
      <c r="A80" s="3">
        <v>79</v>
      </c>
      <c r="B80" s="4">
        <v>3023650</v>
      </c>
      <c r="C80" s="4">
        <v>77</v>
      </c>
      <c r="D80" s="4" t="s">
        <v>46</v>
      </c>
      <c r="E80" s="5">
        <v>45677</v>
      </c>
      <c r="F80" s="6">
        <v>45709</v>
      </c>
      <c r="G80" s="4" t="s">
        <v>8</v>
      </c>
      <c r="H80" s="3" t="s">
        <v>18</v>
      </c>
      <c r="I80" s="3">
        <v>1</v>
      </c>
      <c r="J80" s="3">
        <v>0</v>
      </c>
      <c r="K80" s="3">
        <v>1</v>
      </c>
      <c r="L80" s="3">
        <v>4</v>
      </c>
      <c r="M80" s="3" t="s">
        <v>39</v>
      </c>
      <c r="N80" s="3">
        <v>9</v>
      </c>
      <c r="O80" s="7">
        <v>0</v>
      </c>
      <c r="P80" s="8">
        <f t="shared" ref="P80:P102" si="15">85+50*LOG10(6/N80)</f>
        <v>76.195437047215933</v>
      </c>
      <c r="Q80" s="8">
        <f t="shared" si="12"/>
        <v>76.195437047215933</v>
      </c>
      <c r="S80">
        <f t="shared" si="13"/>
        <v>0</v>
      </c>
    </row>
    <row r="81" spans="1:19" x14ac:dyDescent="0.25">
      <c r="A81" s="3">
        <v>80</v>
      </c>
      <c r="B81" s="4">
        <v>1042568</v>
      </c>
      <c r="C81" s="4">
        <v>47</v>
      </c>
      <c r="D81" s="4" t="s">
        <v>46</v>
      </c>
      <c r="E81" s="5">
        <v>45684</v>
      </c>
      <c r="F81" s="6">
        <v>45915</v>
      </c>
      <c r="G81" s="4" t="s">
        <v>8</v>
      </c>
      <c r="H81" s="3" t="s">
        <v>22</v>
      </c>
      <c r="I81" s="3">
        <v>2</v>
      </c>
      <c r="J81" s="3">
        <v>0</v>
      </c>
      <c r="K81" s="3">
        <v>2</v>
      </c>
      <c r="L81" s="3">
        <v>18</v>
      </c>
      <c r="M81" s="3">
        <v>60</v>
      </c>
      <c r="N81" s="3">
        <v>15</v>
      </c>
      <c r="O81" s="7">
        <f t="shared" ref="O81:O86" si="16">85+50*LOG10(6/M81)</f>
        <v>35</v>
      </c>
      <c r="P81" s="8">
        <f t="shared" si="15"/>
        <v>65.102999566398125</v>
      </c>
      <c r="Q81" s="8">
        <f t="shared" si="12"/>
        <v>30.102999566398125</v>
      </c>
      <c r="S81">
        <f t="shared" si="13"/>
        <v>0</v>
      </c>
    </row>
    <row r="82" spans="1:19" x14ac:dyDescent="0.25">
      <c r="A82" s="3">
        <v>81</v>
      </c>
      <c r="B82" s="4">
        <v>484793</v>
      </c>
      <c r="C82" s="4">
        <v>60</v>
      </c>
      <c r="D82" s="4" t="s">
        <v>46</v>
      </c>
      <c r="E82" s="5">
        <v>45580</v>
      </c>
      <c r="F82" s="3" t="s">
        <v>49</v>
      </c>
      <c r="G82" s="4" t="s">
        <v>8</v>
      </c>
      <c r="H82" s="3" t="s">
        <v>18</v>
      </c>
      <c r="I82" s="3">
        <v>1</v>
      </c>
      <c r="J82" s="3">
        <v>0</v>
      </c>
      <c r="K82" s="3">
        <v>1</v>
      </c>
      <c r="L82" s="3">
        <v>11</v>
      </c>
      <c r="M82" s="3">
        <v>300</v>
      </c>
      <c r="N82" s="3">
        <v>9</v>
      </c>
      <c r="O82" s="7">
        <f t="shared" si="16"/>
        <v>5.1499783199062676E-2</v>
      </c>
      <c r="P82" s="8">
        <f t="shared" si="15"/>
        <v>76.195437047215933</v>
      </c>
      <c r="Q82" s="8">
        <f t="shared" si="12"/>
        <v>76.14393726401687</v>
      </c>
      <c r="S82">
        <f t="shared" si="13"/>
        <v>0</v>
      </c>
    </row>
    <row r="83" spans="1:19" x14ac:dyDescent="0.25">
      <c r="A83" s="3">
        <v>82</v>
      </c>
      <c r="B83" s="4">
        <v>1042907</v>
      </c>
      <c r="C83" s="4">
        <v>55</v>
      </c>
      <c r="D83" s="4" t="s">
        <v>46</v>
      </c>
      <c r="E83" s="5">
        <v>45702</v>
      </c>
      <c r="F83" s="6">
        <v>45740</v>
      </c>
      <c r="G83" s="4" t="s">
        <v>8</v>
      </c>
      <c r="H83" s="3" t="s">
        <v>18</v>
      </c>
      <c r="I83" s="3">
        <v>1</v>
      </c>
      <c r="J83" s="3">
        <v>0</v>
      </c>
      <c r="K83" s="3">
        <v>1</v>
      </c>
      <c r="L83" s="3">
        <v>8</v>
      </c>
      <c r="M83" s="3">
        <v>12</v>
      </c>
      <c r="N83" s="3">
        <v>6</v>
      </c>
      <c r="O83" s="7">
        <f t="shared" si="16"/>
        <v>69.948500216800937</v>
      </c>
      <c r="P83" s="8">
        <f t="shared" si="15"/>
        <v>85</v>
      </c>
      <c r="Q83" s="8">
        <f t="shared" si="12"/>
        <v>15.051499783199063</v>
      </c>
      <c r="S83">
        <f t="shared" si="13"/>
        <v>0</v>
      </c>
    </row>
    <row r="84" spans="1:19" x14ac:dyDescent="0.25">
      <c r="A84" s="3">
        <v>83</v>
      </c>
      <c r="B84" s="4">
        <v>1023375</v>
      </c>
      <c r="C84" s="4">
        <v>63</v>
      </c>
      <c r="D84" s="4" t="s">
        <v>47</v>
      </c>
      <c r="E84" s="5">
        <v>45679</v>
      </c>
      <c r="F84" s="6">
        <v>46011</v>
      </c>
      <c r="G84" s="4" t="s">
        <v>8</v>
      </c>
      <c r="H84" s="3" t="s">
        <v>22</v>
      </c>
      <c r="I84" s="3">
        <v>2</v>
      </c>
      <c r="J84" s="3">
        <v>0</v>
      </c>
      <c r="K84" s="3">
        <v>2</v>
      </c>
      <c r="L84" s="3">
        <v>11</v>
      </c>
      <c r="M84" s="3">
        <v>180</v>
      </c>
      <c r="N84" s="3">
        <v>24</v>
      </c>
      <c r="O84" s="7">
        <f t="shared" si="16"/>
        <v>11.143937264016884</v>
      </c>
      <c r="P84" s="8">
        <f t="shared" si="15"/>
        <v>54.897000433601882</v>
      </c>
      <c r="Q84" s="8">
        <f t="shared" si="12"/>
        <v>43.753063169584998</v>
      </c>
      <c r="S84">
        <f t="shared" si="13"/>
        <v>0</v>
      </c>
    </row>
    <row r="85" spans="1:19" x14ac:dyDescent="0.25">
      <c r="A85" s="3">
        <v>84</v>
      </c>
      <c r="B85" s="4">
        <v>1042815</v>
      </c>
      <c r="C85" s="4">
        <v>73</v>
      </c>
      <c r="D85" s="4" t="s">
        <v>46</v>
      </c>
      <c r="E85" s="5">
        <v>45692</v>
      </c>
      <c r="F85" s="6">
        <v>45903</v>
      </c>
      <c r="G85" s="4" t="s">
        <v>8</v>
      </c>
      <c r="H85" s="3" t="s">
        <v>22</v>
      </c>
      <c r="I85" s="3">
        <v>1</v>
      </c>
      <c r="J85" s="3">
        <v>0</v>
      </c>
      <c r="K85" s="3">
        <v>1</v>
      </c>
      <c r="L85" s="3">
        <v>14</v>
      </c>
      <c r="M85" s="3">
        <v>60</v>
      </c>
      <c r="N85" s="3">
        <v>180</v>
      </c>
      <c r="O85" s="7">
        <f t="shared" si="16"/>
        <v>35</v>
      </c>
      <c r="P85" s="8">
        <f t="shared" si="15"/>
        <v>11.143937264016884</v>
      </c>
      <c r="Q85" s="8">
        <f t="shared" si="12"/>
        <v>-23.856062735983116</v>
      </c>
      <c r="S85">
        <f t="shared" si="13"/>
        <v>1</v>
      </c>
    </row>
    <row r="86" spans="1:19" x14ac:dyDescent="0.25">
      <c r="A86" s="3">
        <v>85</v>
      </c>
      <c r="B86" s="4">
        <v>4004287</v>
      </c>
      <c r="C86" s="4">
        <v>33</v>
      </c>
      <c r="D86" s="4" t="s">
        <v>46</v>
      </c>
      <c r="E86" s="5">
        <v>45705</v>
      </c>
      <c r="F86" s="6">
        <v>45713</v>
      </c>
      <c r="G86" s="4" t="s">
        <v>8</v>
      </c>
      <c r="H86" s="3" t="s">
        <v>22</v>
      </c>
      <c r="I86" s="3">
        <v>1</v>
      </c>
      <c r="J86" s="3">
        <v>0</v>
      </c>
      <c r="K86" s="3">
        <v>1</v>
      </c>
      <c r="L86" s="3">
        <v>4</v>
      </c>
      <c r="M86" s="3">
        <v>6</v>
      </c>
      <c r="N86" s="3">
        <v>9</v>
      </c>
      <c r="O86" s="7">
        <f t="shared" si="16"/>
        <v>85</v>
      </c>
      <c r="P86" s="8">
        <f t="shared" si="15"/>
        <v>76.195437047215933</v>
      </c>
      <c r="Q86" s="8">
        <f t="shared" si="12"/>
        <v>-8.8045629527840674</v>
      </c>
      <c r="S86">
        <f t="shared" si="13"/>
        <v>1</v>
      </c>
    </row>
    <row r="87" spans="1:19" x14ac:dyDescent="0.25">
      <c r="A87" s="3">
        <v>86</v>
      </c>
      <c r="B87" s="4">
        <v>484112</v>
      </c>
      <c r="C87" s="4">
        <v>54</v>
      </c>
      <c r="D87" s="4" t="s">
        <v>46</v>
      </c>
      <c r="E87" s="5">
        <v>45705</v>
      </c>
      <c r="F87" s="6">
        <v>46009</v>
      </c>
      <c r="G87" s="4" t="s">
        <v>8</v>
      </c>
      <c r="H87" s="3" t="s">
        <v>18</v>
      </c>
      <c r="I87" s="3">
        <v>3</v>
      </c>
      <c r="J87" s="3">
        <v>0</v>
      </c>
      <c r="K87" s="3">
        <v>3</v>
      </c>
      <c r="L87" s="3">
        <v>33</v>
      </c>
      <c r="M87" s="3" t="s">
        <v>23</v>
      </c>
      <c r="N87" s="3">
        <v>36</v>
      </c>
      <c r="O87" s="7">
        <v>0</v>
      </c>
      <c r="P87" s="8">
        <f t="shared" si="15"/>
        <v>46.092437480817821</v>
      </c>
      <c r="Q87" s="8">
        <f t="shared" si="12"/>
        <v>46.092437480817821</v>
      </c>
      <c r="S87">
        <f t="shared" si="13"/>
        <v>0</v>
      </c>
    </row>
    <row r="88" spans="1:19" x14ac:dyDescent="0.25">
      <c r="A88" s="3">
        <v>87</v>
      </c>
      <c r="B88" s="4">
        <v>155030</v>
      </c>
      <c r="C88" s="4">
        <v>64</v>
      </c>
      <c r="D88" s="4" t="s">
        <v>46</v>
      </c>
      <c r="E88" s="5">
        <v>45707</v>
      </c>
      <c r="F88" s="6">
        <v>45979</v>
      </c>
      <c r="G88" s="4" t="s">
        <v>8</v>
      </c>
      <c r="H88" s="3" t="s">
        <v>18</v>
      </c>
      <c r="I88" s="3">
        <v>1</v>
      </c>
      <c r="J88" s="3">
        <v>0</v>
      </c>
      <c r="K88" s="3">
        <v>1</v>
      </c>
      <c r="L88" s="3">
        <v>15</v>
      </c>
      <c r="M88" s="3" t="s">
        <v>29</v>
      </c>
      <c r="N88" s="3">
        <v>6</v>
      </c>
      <c r="O88" s="7">
        <v>0</v>
      </c>
      <c r="P88" s="8">
        <f t="shared" si="15"/>
        <v>85</v>
      </c>
      <c r="Q88" s="8">
        <f t="shared" si="12"/>
        <v>85</v>
      </c>
      <c r="S88">
        <f t="shared" si="13"/>
        <v>0</v>
      </c>
    </row>
    <row r="89" spans="1:19" x14ac:dyDescent="0.25">
      <c r="A89" s="3">
        <v>88</v>
      </c>
      <c r="B89" s="4">
        <v>802749</v>
      </c>
      <c r="C89" s="4">
        <v>56</v>
      </c>
      <c r="D89" s="4" t="s">
        <v>46</v>
      </c>
      <c r="E89" s="5">
        <v>45692</v>
      </c>
      <c r="F89" s="6">
        <v>45817</v>
      </c>
      <c r="G89" s="4" t="s">
        <v>8</v>
      </c>
      <c r="H89" s="3" t="s">
        <v>22</v>
      </c>
      <c r="I89" s="3">
        <v>1</v>
      </c>
      <c r="J89" s="3">
        <v>0</v>
      </c>
      <c r="K89" s="3">
        <v>1</v>
      </c>
      <c r="L89" s="3">
        <v>15</v>
      </c>
      <c r="M89" s="3" t="s">
        <v>29</v>
      </c>
      <c r="N89" s="3">
        <v>6</v>
      </c>
      <c r="O89" s="7">
        <v>0</v>
      </c>
      <c r="P89" s="8">
        <f t="shared" si="15"/>
        <v>85</v>
      </c>
      <c r="Q89" s="8">
        <f t="shared" si="12"/>
        <v>85</v>
      </c>
      <c r="S89">
        <f t="shared" si="13"/>
        <v>0</v>
      </c>
    </row>
    <row r="90" spans="1:19" x14ac:dyDescent="0.25">
      <c r="A90" s="3">
        <v>89</v>
      </c>
      <c r="B90" s="4">
        <v>481234</v>
      </c>
      <c r="C90" s="4">
        <v>53</v>
      </c>
      <c r="D90" s="4" t="s">
        <v>46</v>
      </c>
      <c r="E90" s="5">
        <v>45636</v>
      </c>
      <c r="F90" s="6">
        <v>45734</v>
      </c>
      <c r="G90" s="4" t="s">
        <v>8</v>
      </c>
      <c r="H90" s="3" t="s">
        <v>22</v>
      </c>
      <c r="I90" s="3">
        <v>1</v>
      </c>
      <c r="J90" s="3">
        <v>0</v>
      </c>
      <c r="K90" s="3">
        <v>1</v>
      </c>
      <c r="L90" s="3">
        <v>3</v>
      </c>
      <c r="M90" s="3">
        <v>9</v>
      </c>
      <c r="N90" s="3">
        <v>6</v>
      </c>
      <c r="O90" s="7">
        <f>85+50*LOG10(6/M90)</f>
        <v>76.195437047215933</v>
      </c>
      <c r="P90" s="8">
        <f t="shared" si="15"/>
        <v>85</v>
      </c>
      <c r="Q90" s="8">
        <f t="shared" si="12"/>
        <v>8.8045629527840674</v>
      </c>
      <c r="S90">
        <f t="shared" si="13"/>
        <v>0</v>
      </c>
    </row>
    <row r="91" spans="1:19" x14ac:dyDescent="0.25">
      <c r="A91" s="3">
        <v>90</v>
      </c>
      <c r="B91" s="4">
        <v>3081032</v>
      </c>
      <c r="C91" s="4">
        <v>35</v>
      </c>
      <c r="D91" s="4" t="s">
        <v>46</v>
      </c>
      <c r="E91" s="5">
        <v>45730</v>
      </c>
      <c r="F91" s="6">
        <v>45799</v>
      </c>
      <c r="G91" s="4" t="s">
        <v>8</v>
      </c>
      <c r="H91" s="3" t="s">
        <v>22</v>
      </c>
      <c r="I91" s="3">
        <v>1</v>
      </c>
      <c r="J91" s="3">
        <v>0</v>
      </c>
      <c r="K91" s="3">
        <v>1</v>
      </c>
      <c r="L91" s="3">
        <v>6</v>
      </c>
      <c r="M91" s="3">
        <v>180</v>
      </c>
      <c r="N91" s="3">
        <v>60</v>
      </c>
      <c r="O91" s="7">
        <f>85+50*LOG10(6/M91)</f>
        <v>11.143937264016884</v>
      </c>
      <c r="P91" s="8">
        <f t="shared" si="15"/>
        <v>35</v>
      </c>
      <c r="Q91" s="8">
        <f t="shared" si="12"/>
        <v>23.856062735983116</v>
      </c>
      <c r="S91">
        <f t="shared" si="13"/>
        <v>0</v>
      </c>
    </row>
    <row r="92" spans="1:19" x14ac:dyDescent="0.25">
      <c r="A92" s="3">
        <v>91</v>
      </c>
      <c r="B92" s="4" t="s">
        <v>51</v>
      </c>
      <c r="C92" s="4">
        <v>62</v>
      </c>
      <c r="D92" s="4" t="s">
        <v>46</v>
      </c>
      <c r="E92" s="5">
        <v>45713</v>
      </c>
      <c r="F92" s="6">
        <v>45773</v>
      </c>
      <c r="G92" s="4" t="s">
        <v>8</v>
      </c>
      <c r="H92" s="3" t="s">
        <v>18</v>
      </c>
      <c r="I92" s="3">
        <v>1</v>
      </c>
      <c r="J92" s="3">
        <v>0</v>
      </c>
      <c r="K92" s="3">
        <v>1</v>
      </c>
      <c r="L92" s="3">
        <v>4</v>
      </c>
      <c r="M92" s="3">
        <v>6</v>
      </c>
      <c r="N92" s="3">
        <v>6</v>
      </c>
      <c r="O92" s="7">
        <f>85+50*LOG10(6/M92)</f>
        <v>85</v>
      </c>
      <c r="P92" s="8">
        <f t="shared" si="15"/>
        <v>85</v>
      </c>
      <c r="Q92" s="8">
        <f t="shared" si="12"/>
        <v>0</v>
      </c>
      <c r="S92">
        <f t="shared" si="13"/>
        <v>0</v>
      </c>
    </row>
    <row r="93" spans="1:19" x14ac:dyDescent="0.25">
      <c r="A93" s="3">
        <v>92</v>
      </c>
      <c r="B93" s="4">
        <v>267328</v>
      </c>
      <c r="C93" s="4">
        <v>48</v>
      </c>
      <c r="D93" s="4" t="s">
        <v>46</v>
      </c>
      <c r="E93" s="5">
        <v>45709</v>
      </c>
      <c r="F93" s="6">
        <v>45967</v>
      </c>
      <c r="G93" s="4" t="s">
        <v>8</v>
      </c>
      <c r="H93" s="3" t="s">
        <v>18</v>
      </c>
      <c r="I93" s="3">
        <v>1</v>
      </c>
      <c r="J93" s="3">
        <v>0</v>
      </c>
      <c r="K93" s="3">
        <v>1</v>
      </c>
      <c r="L93" s="3">
        <v>11</v>
      </c>
      <c r="M93" s="3" t="s">
        <v>23</v>
      </c>
      <c r="N93" s="3">
        <v>240</v>
      </c>
      <c r="O93" s="7">
        <v>0</v>
      </c>
      <c r="P93" s="8">
        <f t="shared" si="15"/>
        <v>4.8970004336018889</v>
      </c>
      <c r="Q93" s="8">
        <f t="shared" si="12"/>
        <v>4.8970004336018889</v>
      </c>
      <c r="S93">
        <f t="shared" si="13"/>
        <v>0</v>
      </c>
    </row>
    <row r="94" spans="1:19" x14ac:dyDescent="0.25">
      <c r="A94" s="3">
        <v>93</v>
      </c>
      <c r="B94" s="4">
        <v>1044613</v>
      </c>
      <c r="C94" s="4">
        <v>69</v>
      </c>
      <c r="D94" s="4" t="s">
        <v>47</v>
      </c>
      <c r="E94" s="5">
        <v>45743</v>
      </c>
      <c r="F94" s="6">
        <v>45948</v>
      </c>
      <c r="G94" s="4" t="s">
        <v>8</v>
      </c>
      <c r="H94" s="3" t="s">
        <v>22</v>
      </c>
      <c r="I94" s="3">
        <v>2</v>
      </c>
      <c r="J94" s="3">
        <v>0</v>
      </c>
      <c r="K94" s="3">
        <v>2</v>
      </c>
      <c r="L94" s="3">
        <v>14</v>
      </c>
      <c r="M94" s="3" t="s">
        <v>23</v>
      </c>
      <c r="N94" s="3">
        <v>36</v>
      </c>
      <c r="O94" s="7">
        <v>0</v>
      </c>
      <c r="P94" s="8">
        <f t="shared" si="15"/>
        <v>46.092437480817821</v>
      </c>
      <c r="Q94" s="8">
        <f t="shared" si="12"/>
        <v>46.092437480817821</v>
      </c>
      <c r="S94">
        <f t="shared" si="13"/>
        <v>0</v>
      </c>
    </row>
    <row r="95" spans="1:19" x14ac:dyDescent="0.25">
      <c r="A95" s="3">
        <v>94</v>
      </c>
      <c r="B95" s="4">
        <v>3080558</v>
      </c>
      <c r="C95" s="4">
        <v>55</v>
      </c>
      <c r="D95" s="4" t="s">
        <v>46</v>
      </c>
      <c r="E95" s="5">
        <v>45717</v>
      </c>
      <c r="F95" s="6">
        <v>45864</v>
      </c>
      <c r="G95" s="4" t="s">
        <v>8</v>
      </c>
      <c r="H95" s="3" t="s">
        <v>22</v>
      </c>
      <c r="I95" s="3">
        <v>2</v>
      </c>
      <c r="J95" s="3">
        <v>0</v>
      </c>
      <c r="K95" s="3">
        <v>2</v>
      </c>
      <c r="L95" s="3">
        <v>11</v>
      </c>
      <c r="M95" s="3" t="s">
        <v>23</v>
      </c>
      <c r="N95" s="3">
        <v>180</v>
      </c>
      <c r="O95" s="7">
        <v>0</v>
      </c>
      <c r="P95" s="8">
        <f t="shared" si="15"/>
        <v>11.143937264016884</v>
      </c>
      <c r="Q95" s="8">
        <f t="shared" si="12"/>
        <v>11.143937264016884</v>
      </c>
      <c r="S95">
        <f t="shared" si="13"/>
        <v>0</v>
      </c>
    </row>
    <row r="96" spans="1:19" x14ac:dyDescent="0.25">
      <c r="A96" s="3">
        <v>95</v>
      </c>
      <c r="B96" s="14">
        <v>3080403</v>
      </c>
      <c r="C96" s="3">
        <v>67</v>
      </c>
      <c r="D96" s="3" t="s">
        <v>46</v>
      </c>
      <c r="E96" s="15">
        <v>45720</v>
      </c>
      <c r="F96" s="6">
        <v>45729</v>
      </c>
      <c r="G96" s="3" t="s">
        <v>8</v>
      </c>
      <c r="H96" s="3" t="s">
        <v>18</v>
      </c>
      <c r="I96" s="3">
        <v>1</v>
      </c>
      <c r="J96" s="3">
        <v>0</v>
      </c>
      <c r="K96" s="3">
        <v>1</v>
      </c>
      <c r="L96" s="3">
        <v>2</v>
      </c>
      <c r="M96" s="3" t="s">
        <v>21</v>
      </c>
      <c r="N96" s="3">
        <v>18</v>
      </c>
      <c r="O96" s="7">
        <v>0</v>
      </c>
      <c r="P96" s="8">
        <f t="shared" si="15"/>
        <v>61.143937264016877</v>
      </c>
      <c r="Q96" s="8">
        <f t="shared" si="12"/>
        <v>61.143937264016877</v>
      </c>
      <c r="S96">
        <f t="shared" si="13"/>
        <v>0</v>
      </c>
    </row>
    <row r="97" spans="1:19" x14ac:dyDescent="0.25">
      <c r="A97" s="3">
        <v>96</v>
      </c>
      <c r="B97" s="14">
        <v>1033146</v>
      </c>
      <c r="C97" s="3">
        <v>52</v>
      </c>
      <c r="D97" s="3" t="s">
        <v>47</v>
      </c>
      <c r="E97" s="15">
        <v>45418</v>
      </c>
      <c r="F97" s="6">
        <v>45976</v>
      </c>
      <c r="G97" s="3" t="s">
        <v>8</v>
      </c>
      <c r="H97" s="3" t="s">
        <v>18</v>
      </c>
      <c r="I97" s="3">
        <v>1</v>
      </c>
      <c r="J97" s="3">
        <v>0</v>
      </c>
      <c r="K97" s="3">
        <v>1</v>
      </c>
      <c r="L97" s="3">
        <v>26</v>
      </c>
      <c r="M97" s="3" t="s">
        <v>39</v>
      </c>
      <c r="N97" s="3">
        <v>24</v>
      </c>
      <c r="O97" s="7">
        <v>0</v>
      </c>
      <c r="P97" s="8">
        <f t="shared" si="15"/>
        <v>54.897000433601882</v>
      </c>
      <c r="Q97" s="8">
        <f t="shared" si="12"/>
        <v>54.897000433601882</v>
      </c>
      <c r="S97">
        <f t="shared" si="13"/>
        <v>0</v>
      </c>
    </row>
    <row r="98" spans="1:19" x14ac:dyDescent="0.25">
      <c r="A98" s="3">
        <v>97</v>
      </c>
      <c r="B98" s="14" t="s">
        <v>52</v>
      </c>
      <c r="C98" s="3">
        <v>60</v>
      </c>
      <c r="D98" s="3" t="s">
        <v>46</v>
      </c>
      <c r="E98" s="15">
        <v>45745</v>
      </c>
      <c r="F98" s="6">
        <v>45983</v>
      </c>
      <c r="G98" s="3" t="s">
        <v>8</v>
      </c>
      <c r="H98" s="3" t="s">
        <v>22</v>
      </c>
      <c r="I98" s="3">
        <v>3</v>
      </c>
      <c r="J98" s="3">
        <v>0</v>
      </c>
      <c r="K98" s="3">
        <v>3</v>
      </c>
      <c r="L98" s="3">
        <v>20</v>
      </c>
      <c r="M98" s="3">
        <v>18</v>
      </c>
      <c r="N98" s="3">
        <v>36</v>
      </c>
      <c r="O98" s="7">
        <f>85+50*LOG10(6/M98)</f>
        <v>61.143937264016877</v>
      </c>
      <c r="P98" s="8">
        <f t="shared" si="15"/>
        <v>46.092437480817821</v>
      </c>
      <c r="Q98" s="8">
        <f t="shared" ref="Q98:Q110" si="17">P98-O98</f>
        <v>-15.051499783199056</v>
      </c>
      <c r="S98">
        <f t="shared" si="13"/>
        <v>1</v>
      </c>
    </row>
    <row r="99" spans="1:19" x14ac:dyDescent="0.25">
      <c r="A99" s="3">
        <v>98</v>
      </c>
      <c r="B99" s="14">
        <v>154318</v>
      </c>
      <c r="C99" s="3">
        <v>58</v>
      </c>
      <c r="D99" s="3" t="s">
        <v>46</v>
      </c>
      <c r="E99" s="15">
        <v>45721</v>
      </c>
      <c r="F99" s="6">
        <v>45895</v>
      </c>
      <c r="G99" s="3" t="s">
        <v>8</v>
      </c>
      <c r="H99" s="3" t="s">
        <v>22</v>
      </c>
      <c r="I99" s="3">
        <v>1</v>
      </c>
      <c r="J99" s="3">
        <v>0</v>
      </c>
      <c r="K99" s="3">
        <v>1</v>
      </c>
      <c r="L99" s="3">
        <v>12</v>
      </c>
      <c r="M99" s="3">
        <v>36</v>
      </c>
      <c r="N99" s="3">
        <v>180</v>
      </c>
      <c r="O99" s="7">
        <f>85+50*LOG10(6/M99)</f>
        <v>46.092437480817821</v>
      </c>
      <c r="P99" s="8">
        <f t="shared" si="15"/>
        <v>11.143937264016884</v>
      </c>
      <c r="Q99" s="8">
        <f t="shared" si="17"/>
        <v>-34.948500216800937</v>
      </c>
      <c r="S99">
        <f t="shared" si="13"/>
        <v>1</v>
      </c>
    </row>
    <row r="100" spans="1:19" x14ac:dyDescent="0.25">
      <c r="A100" s="3">
        <v>99</v>
      </c>
      <c r="B100" s="14">
        <v>3061906</v>
      </c>
      <c r="C100" s="3">
        <v>72</v>
      </c>
      <c r="D100" s="3" t="s">
        <v>46</v>
      </c>
      <c r="E100" s="15">
        <v>45769</v>
      </c>
      <c r="F100" s="6">
        <v>45772</v>
      </c>
      <c r="G100" s="3" t="s">
        <v>8</v>
      </c>
      <c r="H100" s="3" t="s">
        <v>22</v>
      </c>
      <c r="I100" s="3">
        <v>1</v>
      </c>
      <c r="J100" s="3">
        <v>0</v>
      </c>
      <c r="K100" s="3">
        <v>1</v>
      </c>
      <c r="L100" s="3">
        <v>5</v>
      </c>
      <c r="M100" s="3">
        <v>6</v>
      </c>
      <c r="N100" s="3">
        <v>18</v>
      </c>
      <c r="O100" s="7">
        <f>85+50*LOG10(6/M100)</f>
        <v>85</v>
      </c>
      <c r="P100" s="8">
        <f t="shared" si="15"/>
        <v>61.143937264016877</v>
      </c>
      <c r="Q100" s="8">
        <f t="shared" si="17"/>
        <v>-23.856062735983123</v>
      </c>
      <c r="S100">
        <f t="shared" si="13"/>
        <v>1</v>
      </c>
    </row>
    <row r="101" spans="1:19" x14ac:dyDescent="0.25">
      <c r="A101" s="3">
        <v>100</v>
      </c>
      <c r="B101" s="14">
        <v>3082339</v>
      </c>
      <c r="C101" s="3">
        <v>66</v>
      </c>
      <c r="D101" s="3" t="s">
        <v>47</v>
      </c>
      <c r="E101" s="15">
        <v>45785</v>
      </c>
      <c r="F101" s="6">
        <v>45813</v>
      </c>
      <c r="G101" s="3" t="s">
        <v>8</v>
      </c>
      <c r="H101" s="3" t="s">
        <v>22</v>
      </c>
      <c r="I101" s="3">
        <v>1</v>
      </c>
      <c r="J101" s="3">
        <v>0</v>
      </c>
      <c r="K101" s="3">
        <v>1</v>
      </c>
      <c r="L101" s="3">
        <v>4</v>
      </c>
      <c r="M101" s="3" t="s">
        <v>29</v>
      </c>
      <c r="N101" s="3">
        <v>6</v>
      </c>
      <c r="O101" s="7">
        <v>0</v>
      </c>
      <c r="P101" s="8">
        <f t="shared" si="15"/>
        <v>85</v>
      </c>
      <c r="Q101" s="8">
        <f t="shared" si="17"/>
        <v>85</v>
      </c>
      <c r="S101">
        <f t="shared" si="13"/>
        <v>0</v>
      </c>
    </row>
    <row r="102" spans="1:19" x14ac:dyDescent="0.25">
      <c r="A102" s="3">
        <v>101</v>
      </c>
      <c r="B102" s="14" t="s">
        <v>57</v>
      </c>
      <c r="C102" s="3">
        <v>43</v>
      </c>
      <c r="D102" s="3" t="s">
        <v>47</v>
      </c>
      <c r="E102" s="15">
        <v>45780</v>
      </c>
      <c r="F102" s="6">
        <v>45999</v>
      </c>
      <c r="G102" s="3" t="s">
        <v>8</v>
      </c>
      <c r="H102" s="3" t="s">
        <v>18</v>
      </c>
      <c r="I102" s="3">
        <v>2</v>
      </c>
      <c r="J102" s="3">
        <v>0</v>
      </c>
      <c r="K102" s="3">
        <v>2</v>
      </c>
      <c r="L102" s="3">
        <v>13</v>
      </c>
      <c r="M102" s="3" t="s">
        <v>21</v>
      </c>
      <c r="N102" s="3">
        <v>12</v>
      </c>
      <c r="O102" s="7">
        <v>0</v>
      </c>
      <c r="P102" s="8">
        <f t="shared" si="15"/>
        <v>69.948500216800937</v>
      </c>
      <c r="Q102" s="8">
        <f t="shared" si="17"/>
        <v>69.948500216800937</v>
      </c>
      <c r="S102">
        <f t="shared" si="13"/>
        <v>0</v>
      </c>
    </row>
    <row r="103" spans="1:19" x14ac:dyDescent="0.25">
      <c r="A103" s="3">
        <v>102</v>
      </c>
      <c r="B103" s="14">
        <v>4005397</v>
      </c>
      <c r="C103" s="3">
        <v>51</v>
      </c>
      <c r="D103" s="3" t="s">
        <v>46</v>
      </c>
      <c r="E103" s="15">
        <v>45770</v>
      </c>
      <c r="F103" s="6">
        <v>46009</v>
      </c>
      <c r="G103" s="4" t="s">
        <v>8</v>
      </c>
      <c r="H103" s="3" t="s">
        <v>22</v>
      </c>
      <c r="I103" s="3">
        <v>1</v>
      </c>
      <c r="J103" s="3">
        <v>0</v>
      </c>
      <c r="K103" s="3">
        <v>1</v>
      </c>
      <c r="L103" s="3">
        <v>14</v>
      </c>
      <c r="M103" s="3">
        <v>24</v>
      </c>
      <c r="N103" s="3" t="s">
        <v>23</v>
      </c>
      <c r="O103" s="7">
        <f>85+50*LOG10(6/M103)</f>
        <v>54.897000433601882</v>
      </c>
      <c r="P103" s="8">
        <v>0</v>
      </c>
      <c r="Q103" s="8">
        <f t="shared" si="17"/>
        <v>-54.897000433601882</v>
      </c>
      <c r="S103">
        <f t="shared" si="13"/>
        <v>1</v>
      </c>
    </row>
    <row r="104" spans="1:19" x14ac:dyDescent="0.25">
      <c r="A104" s="3">
        <v>103</v>
      </c>
      <c r="B104" s="14">
        <v>1045784</v>
      </c>
      <c r="C104" s="3">
        <v>49</v>
      </c>
      <c r="D104" s="3" t="s">
        <v>47</v>
      </c>
      <c r="E104" s="15">
        <v>45777</v>
      </c>
      <c r="F104" s="6">
        <v>45996</v>
      </c>
      <c r="G104" s="3" t="s">
        <v>8</v>
      </c>
      <c r="H104" s="3" t="s">
        <v>22</v>
      </c>
      <c r="I104" s="3">
        <v>1</v>
      </c>
      <c r="J104" s="3">
        <v>0</v>
      </c>
      <c r="K104" s="3">
        <v>1</v>
      </c>
      <c r="L104" s="3">
        <v>6</v>
      </c>
      <c r="M104" s="3" t="s">
        <v>23</v>
      </c>
      <c r="N104" s="3">
        <v>180</v>
      </c>
      <c r="O104" s="7">
        <v>0</v>
      </c>
      <c r="P104" s="8">
        <f t="shared" ref="P104:P121" si="18">85+50*LOG10(6/N104)</f>
        <v>11.143937264016884</v>
      </c>
      <c r="Q104" s="8">
        <f t="shared" si="17"/>
        <v>11.143937264016884</v>
      </c>
      <c r="S104">
        <f t="shared" si="13"/>
        <v>0</v>
      </c>
    </row>
    <row r="105" spans="1:19" x14ac:dyDescent="0.25">
      <c r="A105" s="3">
        <v>104</v>
      </c>
      <c r="B105" s="14">
        <v>3078468</v>
      </c>
      <c r="C105" s="3">
        <v>56</v>
      </c>
      <c r="D105" s="3" t="s">
        <v>46</v>
      </c>
      <c r="E105" s="15">
        <v>45790</v>
      </c>
      <c r="F105" s="6">
        <v>46021</v>
      </c>
      <c r="G105" s="3" t="s">
        <v>8</v>
      </c>
      <c r="H105" s="3" t="s">
        <v>22</v>
      </c>
      <c r="I105" s="3">
        <v>3</v>
      </c>
      <c r="J105" s="3">
        <v>0</v>
      </c>
      <c r="K105" s="3">
        <v>3</v>
      </c>
      <c r="L105" s="3">
        <v>19</v>
      </c>
      <c r="M105" s="3" t="s">
        <v>23</v>
      </c>
      <c r="N105" s="3">
        <v>7.5</v>
      </c>
      <c r="O105" s="7">
        <v>0</v>
      </c>
      <c r="P105" s="8">
        <f t="shared" si="18"/>
        <v>80.154499349597174</v>
      </c>
      <c r="Q105" s="8">
        <f t="shared" si="17"/>
        <v>80.154499349597174</v>
      </c>
      <c r="S105">
        <f t="shared" si="13"/>
        <v>0</v>
      </c>
    </row>
    <row r="106" spans="1:19" x14ac:dyDescent="0.25">
      <c r="A106" s="3">
        <v>105</v>
      </c>
      <c r="B106" s="14">
        <v>905499</v>
      </c>
      <c r="C106" s="3">
        <v>69</v>
      </c>
      <c r="D106" s="3" t="s">
        <v>47</v>
      </c>
      <c r="E106" s="15">
        <v>45791</v>
      </c>
      <c r="F106" s="6">
        <v>45881</v>
      </c>
      <c r="G106" s="3" t="s">
        <v>8</v>
      </c>
      <c r="H106" s="3" t="s">
        <v>22</v>
      </c>
      <c r="I106" s="3">
        <v>1</v>
      </c>
      <c r="J106" s="3">
        <v>0</v>
      </c>
      <c r="K106" s="3">
        <v>1</v>
      </c>
      <c r="L106" s="3">
        <v>5</v>
      </c>
      <c r="M106" s="3">
        <v>24</v>
      </c>
      <c r="N106" s="3">
        <v>18</v>
      </c>
      <c r="O106" s="7">
        <f>85+50*LOG10(6/M106)</f>
        <v>54.897000433601882</v>
      </c>
      <c r="P106" s="8">
        <f t="shared" si="18"/>
        <v>61.143937264016877</v>
      </c>
      <c r="Q106" s="8">
        <f t="shared" si="17"/>
        <v>6.2469368304149953</v>
      </c>
      <c r="S106">
        <f t="shared" si="13"/>
        <v>0</v>
      </c>
    </row>
    <row r="107" spans="1:19" x14ac:dyDescent="0.25">
      <c r="A107" s="3">
        <v>106</v>
      </c>
      <c r="B107" s="14">
        <v>1043586</v>
      </c>
      <c r="C107" s="3">
        <v>49</v>
      </c>
      <c r="D107" s="3" t="s">
        <v>46</v>
      </c>
      <c r="E107" s="15">
        <v>45780</v>
      </c>
      <c r="F107" s="6">
        <v>46006</v>
      </c>
      <c r="G107" s="3" t="s">
        <v>8</v>
      </c>
      <c r="H107" s="3" t="s">
        <v>18</v>
      </c>
      <c r="I107" s="3">
        <v>1</v>
      </c>
      <c r="J107" s="3">
        <v>0</v>
      </c>
      <c r="K107" s="3">
        <v>1</v>
      </c>
      <c r="L107" s="3">
        <v>24</v>
      </c>
      <c r="M107" s="3">
        <v>9</v>
      </c>
      <c r="N107" s="3">
        <v>9</v>
      </c>
      <c r="O107" s="7">
        <f>85+50*LOG10(6/M107)</f>
        <v>76.195437047215933</v>
      </c>
      <c r="P107" s="8">
        <f t="shared" si="18"/>
        <v>76.195437047215933</v>
      </c>
      <c r="Q107" s="8">
        <f t="shared" si="17"/>
        <v>0</v>
      </c>
      <c r="S107">
        <f t="shared" si="13"/>
        <v>0</v>
      </c>
    </row>
    <row r="108" spans="1:19" x14ac:dyDescent="0.25">
      <c r="A108" s="3">
        <v>107</v>
      </c>
      <c r="B108" s="14">
        <v>4004979</v>
      </c>
      <c r="C108" s="3">
        <v>60</v>
      </c>
      <c r="D108" s="3" t="s">
        <v>46</v>
      </c>
      <c r="E108" s="15">
        <v>45748</v>
      </c>
      <c r="F108" s="6">
        <v>45835</v>
      </c>
      <c r="G108" s="3" t="s">
        <v>8</v>
      </c>
      <c r="H108" s="3" t="s">
        <v>22</v>
      </c>
      <c r="I108" s="3">
        <v>1</v>
      </c>
      <c r="J108" s="3">
        <v>0</v>
      </c>
      <c r="K108" s="3">
        <v>1</v>
      </c>
      <c r="L108" s="3">
        <v>7</v>
      </c>
      <c r="M108" s="3">
        <v>180</v>
      </c>
      <c r="N108" s="3">
        <v>60</v>
      </c>
      <c r="O108" s="7">
        <f>85+50*LOG10(6/M108)</f>
        <v>11.143937264016884</v>
      </c>
      <c r="P108" s="8">
        <f t="shared" si="18"/>
        <v>35</v>
      </c>
      <c r="Q108" s="8">
        <f t="shared" si="17"/>
        <v>23.856062735983116</v>
      </c>
      <c r="S108">
        <f t="shared" si="13"/>
        <v>0</v>
      </c>
    </row>
    <row r="109" spans="1:19" x14ac:dyDescent="0.25">
      <c r="A109" s="3">
        <v>108</v>
      </c>
      <c r="B109" s="14">
        <v>266351</v>
      </c>
      <c r="C109" s="3">
        <v>53</v>
      </c>
      <c r="D109" s="3" t="s">
        <v>46</v>
      </c>
      <c r="E109" s="15">
        <v>45618</v>
      </c>
      <c r="F109" s="6">
        <v>45854</v>
      </c>
      <c r="G109" s="3" t="s">
        <v>8</v>
      </c>
      <c r="H109" s="3" t="s">
        <v>18</v>
      </c>
      <c r="I109" s="3">
        <v>1</v>
      </c>
      <c r="J109" s="3">
        <v>0</v>
      </c>
      <c r="K109" s="3">
        <v>1</v>
      </c>
      <c r="L109" s="3">
        <v>10</v>
      </c>
      <c r="M109" s="3">
        <v>9</v>
      </c>
      <c r="N109" s="3">
        <v>6</v>
      </c>
      <c r="O109" s="7">
        <f>85+50*LOG10(6/M109)</f>
        <v>76.195437047215933</v>
      </c>
      <c r="P109" s="8">
        <f t="shared" si="18"/>
        <v>85</v>
      </c>
      <c r="Q109" s="8">
        <f t="shared" si="17"/>
        <v>8.8045629527840674</v>
      </c>
      <c r="S109">
        <f t="shared" si="13"/>
        <v>0</v>
      </c>
    </row>
    <row r="110" spans="1:19" x14ac:dyDescent="0.25">
      <c r="A110" s="3">
        <v>109</v>
      </c>
      <c r="B110" s="14">
        <v>260379</v>
      </c>
      <c r="C110" s="3">
        <v>78</v>
      </c>
      <c r="D110" s="3" t="s">
        <v>46</v>
      </c>
      <c r="E110" s="15">
        <v>45709</v>
      </c>
      <c r="F110" s="6">
        <v>46007</v>
      </c>
      <c r="G110" s="3" t="s">
        <v>8</v>
      </c>
      <c r="H110" s="3" t="s">
        <v>18</v>
      </c>
      <c r="I110" s="3">
        <v>1</v>
      </c>
      <c r="J110" s="3">
        <v>0</v>
      </c>
      <c r="K110" s="3">
        <v>1</v>
      </c>
      <c r="L110" s="3">
        <v>11</v>
      </c>
      <c r="M110" s="3" t="s">
        <v>23</v>
      </c>
      <c r="N110" s="3">
        <v>9</v>
      </c>
      <c r="O110" s="7">
        <v>0</v>
      </c>
      <c r="P110" s="8">
        <f t="shared" si="18"/>
        <v>76.195437047215933</v>
      </c>
      <c r="Q110" s="8">
        <f t="shared" si="17"/>
        <v>76.195437047215933</v>
      </c>
      <c r="S110">
        <f t="shared" si="13"/>
        <v>0</v>
      </c>
    </row>
    <row r="111" spans="1:19" x14ac:dyDescent="0.25">
      <c r="A111" s="3">
        <v>110</v>
      </c>
      <c r="B111" s="14">
        <v>496641</v>
      </c>
      <c r="C111" s="3">
        <v>52</v>
      </c>
      <c r="D111" s="3" t="s">
        <v>47</v>
      </c>
      <c r="E111" s="15">
        <v>45811</v>
      </c>
      <c r="F111" s="6">
        <v>45866</v>
      </c>
      <c r="G111" s="3" t="s">
        <v>8</v>
      </c>
      <c r="H111" s="3" t="s">
        <v>22</v>
      </c>
      <c r="I111" s="3">
        <v>1</v>
      </c>
      <c r="J111" s="3">
        <v>0</v>
      </c>
      <c r="K111" s="3">
        <v>1</v>
      </c>
      <c r="L111" s="3">
        <v>6</v>
      </c>
      <c r="M111" s="3">
        <v>240</v>
      </c>
      <c r="N111" s="3">
        <v>9</v>
      </c>
      <c r="O111" s="7">
        <f>85+50*LOG10(6/M111)</f>
        <v>4.8970004336018889</v>
      </c>
      <c r="P111" s="8">
        <f t="shared" si="18"/>
        <v>76.195437047215933</v>
      </c>
      <c r="Q111" s="8">
        <f>P111-O113</f>
        <v>65.051499783199048</v>
      </c>
      <c r="S111">
        <f t="shared" si="13"/>
        <v>0</v>
      </c>
    </row>
    <row r="112" spans="1:19" x14ac:dyDescent="0.25">
      <c r="A112" s="3">
        <v>111</v>
      </c>
      <c r="B112" s="14" t="s">
        <v>59</v>
      </c>
      <c r="C112" s="3">
        <v>61</v>
      </c>
      <c r="D112" s="3" t="s">
        <v>46</v>
      </c>
      <c r="E112" s="15">
        <v>45822</v>
      </c>
      <c r="F112" s="6">
        <v>46025</v>
      </c>
      <c r="G112" s="3" t="s">
        <v>8</v>
      </c>
      <c r="H112" s="3" t="s">
        <v>18</v>
      </c>
      <c r="I112" s="3">
        <v>4</v>
      </c>
      <c r="J112" s="3">
        <v>0</v>
      </c>
      <c r="K112" s="3">
        <v>4</v>
      </c>
      <c r="L112" s="3">
        <v>20</v>
      </c>
      <c r="M112" s="3" t="s">
        <v>23</v>
      </c>
      <c r="N112" s="3">
        <v>180</v>
      </c>
      <c r="O112" s="7">
        <v>0</v>
      </c>
      <c r="P112" s="8">
        <f t="shared" si="18"/>
        <v>11.143937264016884</v>
      </c>
      <c r="Q112" s="8">
        <f t="shared" ref="Q112:Q157" si="19">P112-O112</f>
        <v>11.143937264016884</v>
      </c>
      <c r="S112">
        <f t="shared" si="13"/>
        <v>0</v>
      </c>
    </row>
    <row r="113" spans="1:19" x14ac:dyDescent="0.25">
      <c r="A113" s="3">
        <v>112</v>
      </c>
      <c r="B113" s="14">
        <v>1040252</v>
      </c>
      <c r="C113" s="3">
        <v>59</v>
      </c>
      <c r="D113" s="3" t="s">
        <v>47</v>
      </c>
      <c r="E113" s="15">
        <v>45631</v>
      </c>
      <c r="F113" s="6">
        <v>45936</v>
      </c>
      <c r="G113" s="3" t="s">
        <v>8</v>
      </c>
      <c r="H113" s="3" t="s">
        <v>18</v>
      </c>
      <c r="I113" s="3">
        <v>1</v>
      </c>
      <c r="J113" s="3">
        <v>0</v>
      </c>
      <c r="K113" s="3">
        <v>1</v>
      </c>
      <c r="L113" s="3">
        <v>10</v>
      </c>
      <c r="M113" s="3">
        <v>180</v>
      </c>
      <c r="N113" s="3">
        <v>6</v>
      </c>
      <c r="O113" s="7">
        <f>85+50*LOG10(6/M113)</f>
        <v>11.143937264016884</v>
      </c>
      <c r="P113" s="8">
        <f t="shared" si="18"/>
        <v>85</v>
      </c>
      <c r="Q113" s="8">
        <f t="shared" si="19"/>
        <v>73.856062735983116</v>
      </c>
      <c r="S113">
        <f t="shared" si="13"/>
        <v>0</v>
      </c>
    </row>
    <row r="114" spans="1:19" x14ac:dyDescent="0.25">
      <c r="A114" s="3">
        <v>113</v>
      </c>
      <c r="B114" s="14">
        <v>214231</v>
      </c>
      <c r="C114" s="14">
        <v>51</v>
      </c>
      <c r="D114" s="3" t="s">
        <v>46</v>
      </c>
      <c r="E114" s="15">
        <v>45843</v>
      </c>
      <c r="F114" s="6">
        <v>46022</v>
      </c>
      <c r="G114" s="3" t="s">
        <v>8</v>
      </c>
      <c r="H114" s="3" t="s">
        <v>22</v>
      </c>
      <c r="I114" s="3">
        <v>2</v>
      </c>
      <c r="J114" s="3">
        <v>0</v>
      </c>
      <c r="K114" s="3">
        <v>2</v>
      </c>
      <c r="L114" s="3">
        <v>14</v>
      </c>
      <c r="M114" s="3">
        <v>18</v>
      </c>
      <c r="N114" s="3">
        <v>240</v>
      </c>
      <c r="O114" s="7">
        <f>85+50*LOG10(6/M114)</f>
        <v>61.143937264016877</v>
      </c>
      <c r="P114" s="16">
        <f t="shared" si="18"/>
        <v>4.8970004336018889</v>
      </c>
      <c r="Q114" s="8">
        <f t="shared" si="19"/>
        <v>-56.246936830414988</v>
      </c>
      <c r="S114">
        <f t="shared" si="13"/>
        <v>1</v>
      </c>
    </row>
    <row r="115" spans="1:19" x14ac:dyDescent="0.25">
      <c r="A115" s="3">
        <v>114</v>
      </c>
      <c r="B115" s="14">
        <v>1047720</v>
      </c>
      <c r="C115" s="14">
        <v>53</v>
      </c>
      <c r="D115" s="3" t="s">
        <v>47</v>
      </c>
      <c r="E115" s="15">
        <v>45831</v>
      </c>
      <c r="F115" s="6">
        <v>45895</v>
      </c>
      <c r="G115" s="3" t="s">
        <v>8</v>
      </c>
      <c r="H115" s="3" t="s">
        <v>18</v>
      </c>
      <c r="I115" s="3">
        <v>1</v>
      </c>
      <c r="J115" s="3">
        <v>0</v>
      </c>
      <c r="K115" s="3">
        <v>1</v>
      </c>
      <c r="L115" s="3">
        <v>6</v>
      </c>
      <c r="M115" s="3">
        <v>12</v>
      </c>
      <c r="N115" s="3">
        <v>12</v>
      </c>
      <c r="O115" s="7">
        <f>85+50*LOG10(6/M115)</f>
        <v>69.948500216800937</v>
      </c>
      <c r="P115" s="16">
        <f t="shared" si="18"/>
        <v>69.948500216800937</v>
      </c>
      <c r="Q115" s="8">
        <f t="shared" si="19"/>
        <v>0</v>
      </c>
      <c r="S115">
        <f t="shared" si="13"/>
        <v>0</v>
      </c>
    </row>
    <row r="116" spans="1:19" x14ac:dyDescent="0.25">
      <c r="A116" s="3">
        <v>115</v>
      </c>
      <c r="B116" s="14" t="s">
        <v>61</v>
      </c>
      <c r="C116" s="14">
        <v>73</v>
      </c>
      <c r="D116" s="3" t="s">
        <v>46</v>
      </c>
      <c r="E116" s="15">
        <v>45852</v>
      </c>
      <c r="F116" s="6">
        <v>45875</v>
      </c>
      <c r="G116" s="3" t="s">
        <v>8</v>
      </c>
      <c r="H116" s="3" t="s">
        <v>18</v>
      </c>
      <c r="I116" s="3">
        <v>1</v>
      </c>
      <c r="J116" s="3">
        <v>0</v>
      </c>
      <c r="K116" s="3">
        <v>1</v>
      </c>
      <c r="L116" s="3">
        <v>2</v>
      </c>
      <c r="M116" s="3">
        <v>240</v>
      </c>
      <c r="N116" s="3">
        <v>6</v>
      </c>
      <c r="O116" s="7">
        <f>85+50*LOG10(6/M116)</f>
        <v>4.8970004336018889</v>
      </c>
      <c r="P116" s="17">
        <f t="shared" si="18"/>
        <v>85</v>
      </c>
      <c r="Q116" s="8">
        <f t="shared" si="19"/>
        <v>80.102999566398111</v>
      </c>
      <c r="S116">
        <f t="shared" si="13"/>
        <v>0</v>
      </c>
    </row>
    <row r="117" spans="1:19" x14ac:dyDescent="0.25">
      <c r="A117" s="3">
        <v>116</v>
      </c>
      <c r="B117" s="14">
        <v>1048943</v>
      </c>
      <c r="C117" s="14">
        <v>55</v>
      </c>
      <c r="D117" s="3" t="s">
        <v>46</v>
      </c>
      <c r="E117" s="15">
        <v>45862</v>
      </c>
      <c r="F117" s="6">
        <v>45897</v>
      </c>
      <c r="G117" s="3" t="s">
        <v>8</v>
      </c>
      <c r="H117" s="3" t="s">
        <v>18</v>
      </c>
      <c r="I117" s="3">
        <v>1</v>
      </c>
      <c r="J117" s="3">
        <v>0</v>
      </c>
      <c r="K117" s="3">
        <v>1</v>
      </c>
      <c r="L117" s="3">
        <v>3</v>
      </c>
      <c r="M117" s="3" t="s">
        <v>39</v>
      </c>
      <c r="N117" s="3">
        <v>6</v>
      </c>
      <c r="O117" s="7">
        <v>0</v>
      </c>
      <c r="P117" s="17">
        <f t="shared" si="18"/>
        <v>85</v>
      </c>
      <c r="Q117" s="8">
        <f t="shared" si="19"/>
        <v>85</v>
      </c>
      <c r="S117">
        <f t="shared" si="13"/>
        <v>0</v>
      </c>
    </row>
    <row r="118" spans="1:19" x14ac:dyDescent="0.25">
      <c r="A118" s="3">
        <v>117</v>
      </c>
      <c r="B118" s="14">
        <v>3073976</v>
      </c>
      <c r="C118" s="3">
        <v>45</v>
      </c>
      <c r="D118" s="3" t="s">
        <v>46</v>
      </c>
      <c r="E118" s="15">
        <v>45637</v>
      </c>
      <c r="F118" s="6">
        <v>45913</v>
      </c>
      <c r="G118" s="3" t="s">
        <v>8</v>
      </c>
      <c r="H118" s="3" t="s">
        <v>22</v>
      </c>
      <c r="I118" s="3">
        <v>1</v>
      </c>
      <c r="J118" s="3">
        <v>0</v>
      </c>
      <c r="K118" s="3">
        <v>1</v>
      </c>
      <c r="L118" s="3">
        <v>13</v>
      </c>
      <c r="M118" s="3">
        <v>9</v>
      </c>
      <c r="N118" s="3">
        <v>60</v>
      </c>
      <c r="O118" s="7">
        <f t="shared" ref="O118:O126" si="20">85+50*LOG10(6/M118)</f>
        <v>76.195437047215933</v>
      </c>
      <c r="P118" s="16">
        <f t="shared" si="18"/>
        <v>35</v>
      </c>
      <c r="Q118" s="8">
        <f t="shared" si="19"/>
        <v>-41.195437047215933</v>
      </c>
      <c r="S118">
        <f t="shared" si="13"/>
        <v>1</v>
      </c>
    </row>
    <row r="119" spans="1:19" x14ac:dyDescent="0.25">
      <c r="A119" s="3">
        <v>118</v>
      </c>
      <c r="B119" s="14" t="s">
        <v>62</v>
      </c>
      <c r="C119" s="3">
        <v>58</v>
      </c>
      <c r="D119" s="3" t="s">
        <v>46</v>
      </c>
      <c r="E119" s="15">
        <v>45868</v>
      </c>
      <c r="F119" s="6">
        <v>45973</v>
      </c>
      <c r="G119" s="3" t="s">
        <v>8</v>
      </c>
      <c r="H119" s="3" t="s">
        <v>18</v>
      </c>
      <c r="I119" s="3">
        <v>1</v>
      </c>
      <c r="J119" s="3">
        <v>0</v>
      </c>
      <c r="K119" s="3">
        <v>1</v>
      </c>
      <c r="L119" s="3">
        <v>10</v>
      </c>
      <c r="M119" s="3">
        <v>60</v>
      </c>
      <c r="N119" s="3">
        <v>18</v>
      </c>
      <c r="O119" s="7">
        <f t="shared" si="20"/>
        <v>35</v>
      </c>
      <c r="P119" s="16">
        <f t="shared" si="18"/>
        <v>61.143937264016877</v>
      </c>
      <c r="Q119" s="8">
        <f t="shared" si="19"/>
        <v>26.143937264016877</v>
      </c>
      <c r="S119">
        <f t="shared" si="13"/>
        <v>0</v>
      </c>
    </row>
    <row r="120" spans="1:19" x14ac:dyDescent="0.25">
      <c r="A120" s="3">
        <v>119</v>
      </c>
      <c r="B120" s="14">
        <v>234382</v>
      </c>
      <c r="C120" s="3">
        <v>72</v>
      </c>
      <c r="D120" s="3" t="s">
        <v>47</v>
      </c>
      <c r="E120" s="15">
        <v>45864</v>
      </c>
      <c r="F120" s="6">
        <v>45915</v>
      </c>
      <c r="G120" s="3" t="s">
        <v>8</v>
      </c>
      <c r="H120" s="3" t="s">
        <v>18</v>
      </c>
      <c r="I120" s="3">
        <v>1</v>
      </c>
      <c r="J120" s="3">
        <v>0</v>
      </c>
      <c r="K120" s="3">
        <v>1</v>
      </c>
      <c r="L120" s="3">
        <v>6</v>
      </c>
      <c r="M120" s="3">
        <v>18</v>
      </c>
      <c r="N120" s="3">
        <v>9</v>
      </c>
      <c r="O120" s="7">
        <f t="shared" si="20"/>
        <v>61.143937264016877</v>
      </c>
      <c r="P120" s="16">
        <f t="shared" si="18"/>
        <v>76.195437047215933</v>
      </c>
      <c r="Q120" s="8">
        <f t="shared" si="19"/>
        <v>15.051499783199056</v>
      </c>
      <c r="S120">
        <f t="shared" si="13"/>
        <v>0</v>
      </c>
    </row>
    <row r="121" spans="1:19" x14ac:dyDescent="0.25">
      <c r="A121" s="3">
        <v>120</v>
      </c>
      <c r="B121" s="14">
        <v>164633</v>
      </c>
      <c r="C121" s="3">
        <v>66</v>
      </c>
      <c r="D121" s="3" t="s">
        <v>46</v>
      </c>
      <c r="E121" s="15">
        <v>45544</v>
      </c>
      <c r="F121" s="6">
        <v>45915</v>
      </c>
      <c r="G121" s="3" t="s">
        <v>8</v>
      </c>
      <c r="H121" s="3" t="s">
        <v>22</v>
      </c>
      <c r="I121" s="3">
        <v>1</v>
      </c>
      <c r="J121" s="3">
        <v>0</v>
      </c>
      <c r="K121" s="3">
        <v>1</v>
      </c>
      <c r="L121" s="3">
        <v>7</v>
      </c>
      <c r="M121" s="3">
        <v>9</v>
      </c>
      <c r="N121" s="3">
        <v>9</v>
      </c>
      <c r="O121" s="7">
        <f t="shared" si="20"/>
        <v>76.195437047215933</v>
      </c>
      <c r="P121" s="16">
        <f t="shared" si="18"/>
        <v>76.195437047215933</v>
      </c>
      <c r="Q121" s="8">
        <f t="shared" si="19"/>
        <v>0</v>
      </c>
      <c r="S121">
        <f t="shared" si="13"/>
        <v>0</v>
      </c>
    </row>
    <row r="122" spans="1:19" x14ac:dyDescent="0.25">
      <c r="A122" s="3">
        <v>121</v>
      </c>
      <c r="B122" s="14" t="s">
        <v>63</v>
      </c>
      <c r="C122" s="3">
        <v>52</v>
      </c>
      <c r="D122" s="3" t="s">
        <v>46</v>
      </c>
      <c r="E122" s="15">
        <v>45882</v>
      </c>
      <c r="F122" s="6">
        <v>46009</v>
      </c>
      <c r="G122" s="3" t="s">
        <v>8</v>
      </c>
      <c r="H122" s="3" t="s">
        <v>22</v>
      </c>
      <c r="I122" s="3">
        <v>1</v>
      </c>
      <c r="J122" s="3">
        <v>0</v>
      </c>
      <c r="K122" s="3">
        <v>1</v>
      </c>
      <c r="L122" s="3">
        <v>13</v>
      </c>
      <c r="M122" s="3">
        <v>60</v>
      </c>
      <c r="N122" s="3" t="s">
        <v>23</v>
      </c>
      <c r="O122" s="7">
        <f t="shared" si="20"/>
        <v>35</v>
      </c>
      <c r="P122" s="16">
        <v>0</v>
      </c>
      <c r="Q122" s="8">
        <f t="shared" si="19"/>
        <v>-35</v>
      </c>
      <c r="S122">
        <f t="shared" si="13"/>
        <v>1</v>
      </c>
    </row>
    <row r="123" spans="1:19" x14ac:dyDescent="0.25">
      <c r="A123" s="3">
        <v>122</v>
      </c>
      <c r="B123" s="14" t="s">
        <v>64</v>
      </c>
      <c r="C123" s="3">
        <v>61</v>
      </c>
      <c r="D123" s="3" t="s">
        <v>46</v>
      </c>
      <c r="E123" s="15">
        <v>45436</v>
      </c>
      <c r="F123" s="6">
        <v>45939</v>
      </c>
      <c r="G123" s="3" t="s">
        <v>8</v>
      </c>
      <c r="H123" s="3" t="s">
        <v>22</v>
      </c>
      <c r="I123" s="3">
        <v>1</v>
      </c>
      <c r="J123" s="3">
        <v>0</v>
      </c>
      <c r="K123" s="3">
        <v>1</v>
      </c>
      <c r="L123" s="3">
        <v>12</v>
      </c>
      <c r="M123" s="3">
        <v>12</v>
      </c>
      <c r="N123" s="3">
        <v>6</v>
      </c>
      <c r="O123" s="7">
        <f t="shared" si="20"/>
        <v>69.948500216800937</v>
      </c>
      <c r="P123" s="16">
        <f t="shared" ref="P123:P129" si="21">85+50*LOG10(6/N123)</f>
        <v>85</v>
      </c>
      <c r="Q123" s="8">
        <f t="shared" si="19"/>
        <v>15.051499783199063</v>
      </c>
      <c r="S123">
        <f t="shared" si="13"/>
        <v>0</v>
      </c>
    </row>
    <row r="124" spans="1:19" x14ac:dyDescent="0.25">
      <c r="A124" s="3">
        <v>123</v>
      </c>
      <c r="B124" s="14">
        <v>1049234</v>
      </c>
      <c r="C124" s="3">
        <v>47</v>
      </c>
      <c r="D124" s="3" t="s">
        <v>47</v>
      </c>
      <c r="E124" s="15">
        <v>45868</v>
      </c>
      <c r="F124" s="6">
        <v>45946</v>
      </c>
      <c r="G124" s="3" t="s">
        <v>8</v>
      </c>
      <c r="H124" s="3" t="s">
        <v>18</v>
      </c>
      <c r="I124" s="3">
        <v>1</v>
      </c>
      <c r="J124" s="3">
        <v>0</v>
      </c>
      <c r="K124" s="3">
        <v>1</v>
      </c>
      <c r="L124" s="3">
        <v>8</v>
      </c>
      <c r="M124" s="3">
        <v>240</v>
      </c>
      <c r="N124" s="3">
        <v>6</v>
      </c>
      <c r="O124" s="7">
        <f t="shared" si="20"/>
        <v>4.8970004336018889</v>
      </c>
      <c r="P124" s="16">
        <f t="shared" si="21"/>
        <v>85</v>
      </c>
      <c r="Q124" s="8">
        <f t="shared" si="19"/>
        <v>80.102999566398111</v>
      </c>
      <c r="S124">
        <f t="shared" si="13"/>
        <v>0</v>
      </c>
    </row>
    <row r="125" spans="1:19" x14ac:dyDescent="0.25">
      <c r="A125" s="3">
        <v>124</v>
      </c>
      <c r="B125" s="14">
        <v>3069334</v>
      </c>
      <c r="C125" s="3">
        <v>57</v>
      </c>
      <c r="D125" s="3" t="s">
        <v>47</v>
      </c>
      <c r="E125" s="15">
        <v>45901</v>
      </c>
      <c r="F125" s="6">
        <v>45999</v>
      </c>
      <c r="G125" s="3" t="s">
        <v>8</v>
      </c>
      <c r="H125" s="3" t="s">
        <v>22</v>
      </c>
      <c r="I125" s="3">
        <v>2</v>
      </c>
      <c r="J125" s="3">
        <v>0</v>
      </c>
      <c r="K125" s="3">
        <v>2</v>
      </c>
      <c r="L125" s="3">
        <v>11</v>
      </c>
      <c r="M125" s="3">
        <v>300</v>
      </c>
      <c r="N125" s="3">
        <v>60</v>
      </c>
      <c r="O125" s="7">
        <f t="shared" si="20"/>
        <v>5.1499783199062676E-2</v>
      </c>
      <c r="P125" s="16">
        <f t="shared" si="21"/>
        <v>35</v>
      </c>
      <c r="Q125" s="8">
        <f t="shared" si="19"/>
        <v>34.948500216800937</v>
      </c>
      <c r="S125">
        <f t="shared" si="13"/>
        <v>0</v>
      </c>
    </row>
    <row r="126" spans="1:19" x14ac:dyDescent="0.25">
      <c r="A126" s="3">
        <v>125</v>
      </c>
      <c r="B126" s="14">
        <v>480619</v>
      </c>
      <c r="C126" s="3">
        <v>54</v>
      </c>
      <c r="D126" s="3" t="s">
        <v>46</v>
      </c>
      <c r="E126" s="15">
        <v>45594</v>
      </c>
      <c r="F126" s="6">
        <v>45947</v>
      </c>
      <c r="G126" s="3" t="s">
        <v>8</v>
      </c>
      <c r="H126" s="3" t="s">
        <v>18</v>
      </c>
      <c r="I126" s="3">
        <v>1</v>
      </c>
      <c r="J126" s="3">
        <v>0</v>
      </c>
      <c r="K126" s="3">
        <v>1</v>
      </c>
      <c r="L126" s="3">
        <v>12</v>
      </c>
      <c r="M126" s="3">
        <v>24</v>
      </c>
      <c r="N126" s="3">
        <v>36</v>
      </c>
      <c r="O126" s="7">
        <f t="shared" si="20"/>
        <v>54.897000433601882</v>
      </c>
      <c r="P126" s="16">
        <f t="shared" si="21"/>
        <v>46.092437480817821</v>
      </c>
      <c r="Q126" s="8">
        <f t="shared" si="19"/>
        <v>-8.8045629527840603</v>
      </c>
      <c r="S126">
        <f t="shared" si="13"/>
        <v>1</v>
      </c>
    </row>
    <row r="127" spans="1:19" x14ac:dyDescent="0.25">
      <c r="A127" s="3">
        <v>126</v>
      </c>
      <c r="B127" s="14">
        <v>1050817</v>
      </c>
      <c r="C127" s="3">
        <v>86</v>
      </c>
      <c r="D127" s="3" t="s">
        <v>46</v>
      </c>
      <c r="E127" s="15">
        <v>45912</v>
      </c>
      <c r="F127" s="6">
        <v>45931</v>
      </c>
      <c r="G127" s="3" t="s">
        <v>8</v>
      </c>
      <c r="H127" s="3" t="s">
        <v>22</v>
      </c>
      <c r="I127" s="3">
        <v>1</v>
      </c>
      <c r="J127" s="3">
        <v>0</v>
      </c>
      <c r="K127" s="3">
        <v>1</v>
      </c>
      <c r="L127" s="3">
        <v>6</v>
      </c>
      <c r="M127" s="3" t="s">
        <v>39</v>
      </c>
      <c r="N127" s="3">
        <v>24</v>
      </c>
      <c r="O127" s="7">
        <v>0</v>
      </c>
      <c r="P127" s="16">
        <f t="shared" si="21"/>
        <v>54.897000433601882</v>
      </c>
      <c r="Q127" s="8">
        <f t="shared" si="19"/>
        <v>54.897000433601882</v>
      </c>
      <c r="S127">
        <f t="shared" si="13"/>
        <v>0</v>
      </c>
    </row>
    <row r="128" spans="1:19" x14ac:dyDescent="0.25">
      <c r="A128" s="3">
        <v>127</v>
      </c>
      <c r="B128" s="14">
        <v>262978</v>
      </c>
      <c r="C128" s="3">
        <v>62</v>
      </c>
      <c r="D128" s="3" t="s">
        <v>46</v>
      </c>
      <c r="E128" s="15">
        <v>45916</v>
      </c>
      <c r="F128" s="6">
        <v>46022</v>
      </c>
      <c r="G128" s="3" t="s">
        <v>8</v>
      </c>
      <c r="H128" s="3" t="s">
        <v>18</v>
      </c>
      <c r="I128" s="3">
        <v>2</v>
      </c>
      <c r="J128" s="3">
        <v>0</v>
      </c>
      <c r="K128" s="3">
        <v>2</v>
      </c>
      <c r="L128" s="3">
        <v>9</v>
      </c>
      <c r="M128" s="3" t="s">
        <v>23</v>
      </c>
      <c r="N128" s="3">
        <v>60</v>
      </c>
      <c r="O128" s="7">
        <v>0</v>
      </c>
      <c r="P128" s="16">
        <f t="shared" si="21"/>
        <v>35</v>
      </c>
      <c r="Q128" s="8">
        <f t="shared" si="19"/>
        <v>35</v>
      </c>
      <c r="S128">
        <f t="shared" si="13"/>
        <v>0</v>
      </c>
    </row>
    <row r="129" spans="1:19" x14ac:dyDescent="0.25">
      <c r="A129" s="3">
        <v>128</v>
      </c>
      <c r="B129" s="14">
        <v>1028940</v>
      </c>
      <c r="C129" s="3">
        <v>38</v>
      </c>
      <c r="D129" s="3" t="s">
        <v>47</v>
      </c>
      <c r="E129" s="15">
        <v>45915</v>
      </c>
      <c r="F129" s="6">
        <v>45936</v>
      </c>
      <c r="G129" s="3" t="s">
        <v>8</v>
      </c>
      <c r="H129" s="3" t="s">
        <v>22</v>
      </c>
      <c r="I129" s="3">
        <v>1</v>
      </c>
      <c r="J129" s="3">
        <v>0</v>
      </c>
      <c r="K129" s="3">
        <v>1</v>
      </c>
      <c r="L129" s="3">
        <v>4</v>
      </c>
      <c r="M129" s="3">
        <v>240</v>
      </c>
      <c r="N129" s="3">
        <v>18</v>
      </c>
      <c r="O129" s="7">
        <f>85+50*LOG10(6/M129)</f>
        <v>4.8970004336018889</v>
      </c>
      <c r="P129" s="16">
        <f t="shared" si="21"/>
        <v>61.143937264016877</v>
      </c>
      <c r="Q129" s="8">
        <f t="shared" si="19"/>
        <v>56.246936830414988</v>
      </c>
      <c r="S129">
        <f t="shared" si="13"/>
        <v>0</v>
      </c>
    </row>
    <row r="130" spans="1:19" x14ac:dyDescent="0.25">
      <c r="A130" s="3">
        <v>129</v>
      </c>
      <c r="B130" s="14">
        <v>268871</v>
      </c>
      <c r="C130" s="3">
        <v>47</v>
      </c>
      <c r="D130" s="3" t="s">
        <v>46</v>
      </c>
      <c r="E130" s="15">
        <v>45862</v>
      </c>
      <c r="F130" s="6">
        <v>46011</v>
      </c>
      <c r="G130" s="3" t="s">
        <v>8</v>
      </c>
      <c r="H130" s="3" t="s">
        <v>22</v>
      </c>
      <c r="I130" s="3">
        <v>1</v>
      </c>
      <c r="J130" s="3">
        <v>0</v>
      </c>
      <c r="K130" s="3">
        <v>1</v>
      </c>
      <c r="L130" s="3">
        <v>6</v>
      </c>
      <c r="M130" s="3" t="s">
        <v>39</v>
      </c>
      <c r="N130" s="3" t="s">
        <v>39</v>
      </c>
      <c r="O130" s="7">
        <v>0</v>
      </c>
      <c r="P130" s="16">
        <v>0</v>
      </c>
      <c r="Q130" s="8">
        <f t="shared" si="19"/>
        <v>0</v>
      </c>
      <c r="S130">
        <f t="shared" si="13"/>
        <v>0</v>
      </c>
    </row>
    <row r="131" spans="1:19" x14ac:dyDescent="0.25">
      <c r="A131" s="3">
        <v>130</v>
      </c>
      <c r="B131" s="14">
        <v>269416</v>
      </c>
      <c r="C131" s="3">
        <v>64</v>
      </c>
      <c r="D131" s="3" t="s">
        <v>47</v>
      </c>
      <c r="E131" s="15">
        <v>45915</v>
      </c>
      <c r="F131" s="6">
        <v>45965</v>
      </c>
      <c r="G131" s="3" t="s">
        <v>8</v>
      </c>
      <c r="H131" s="3" t="s">
        <v>18</v>
      </c>
      <c r="I131" s="3">
        <v>1</v>
      </c>
      <c r="J131" s="3">
        <v>0</v>
      </c>
      <c r="K131" s="3">
        <v>1</v>
      </c>
      <c r="L131" s="3">
        <v>7</v>
      </c>
      <c r="M131" s="3">
        <v>12</v>
      </c>
      <c r="N131" s="3">
        <v>6</v>
      </c>
      <c r="O131" s="7">
        <f t="shared" ref="O131:P134" si="22">85+50*LOG10(6/M131)</f>
        <v>69.948500216800937</v>
      </c>
      <c r="P131" s="16">
        <f t="shared" si="22"/>
        <v>85</v>
      </c>
      <c r="Q131" s="8">
        <f t="shared" si="19"/>
        <v>15.051499783199063</v>
      </c>
      <c r="S131">
        <f t="shared" ref="S131:S157" si="23">COUNTIF(Q131,"&lt;0")</f>
        <v>0</v>
      </c>
    </row>
    <row r="132" spans="1:19" x14ac:dyDescent="0.25">
      <c r="A132" s="3">
        <v>131</v>
      </c>
      <c r="B132" s="14">
        <v>1050546</v>
      </c>
      <c r="C132" s="3">
        <v>35</v>
      </c>
      <c r="D132" s="3" t="s">
        <v>47</v>
      </c>
      <c r="E132" s="15">
        <v>45903</v>
      </c>
      <c r="F132" s="6">
        <v>45992</v>
      </c>
      <c r="G132" s="3" t="s">
        <v>8</v>
      </c>
      <c r="H132" s="3" t="s">
        <v>18</v>
      </c>
      <c r="I132" s="3">
        <v>1</v>
      </c>
      <c r="J132" s="3">
        <v>0</v>
      </c>
      <c r="K132" s="3">
        <v>1</v>
      </c>
      <c r="L132" s="3">
        <v>13</v>
      </c>
      <c r="M132" s="3">
        <v>300</v>
      </c>
      <c r="N132" s="3">
        <v>12</v>
      </c>
      <c r="O132" s="7">
        <f t="shared" si="22"/>
        <v>5.1499783199062676E-2</v>
      </c>
      <c r="P132" s="16">
        <f t="shared" si="22"/>
        <v>69.948500216800937</v>
      </c>
      <c r="Q132" s="8">
        <f t="shared" si="19"/>
        <v>69.897000433601875</v>
      </c>
      <c r="S132">
        <f t="shared" si="23"/>
        <v>0</v>
      </c>
    </row>
    <row r="133" spans="1:19" x14ac:dyDescent="0.25">
      <c r="A133" s="3">
        <v>132</v>
      </c>
      <c r="B133" s="14">
        <v>1050546</v>
      </c>
      <c r="C133" s="3">
        <v>35</v>
      </c>
      <c r="D133" s="3" t="s">
        <v>47</v>
      </c>
      <c r="E133" s="15">
        <v>45903</v>
      </c>
      <c r="F133" s="6">
        <v>45992</v>
      </c>
      <c r="G133" s="3" t="s">
        <v>8</v>
      </c>
      <c r="H133" s="3" t="s">
        <v>22</v>
      </c>
      <c r="I133" s="3">
        <v>1</v>
      </c>
      <c r="J133" s="3">
        <v>0</v>
      </c>
      <c r="K133" s="3">
        <v>1</v>
      </c>
      <c r="L133" s="3">
        <v>13</v>
      </c>
      <c r="M133" s="3">
        <v>300</v>
      </c>
      <c r="N133" s="3">
        <v>24</v>
      </c>
      <c r="O133" s="7">
        <f t="shared" si="22"/>
        <v>5.1499783199062676E-2</v>
      </c>
      <c r="P133" s="16">
        <f t="shared" si="22"/>
        <v>54.897000433601882</v>
      </c>
      <c r="Q133" s="8">
        <f t="shared" si="19"/>
        <v>54.845500650402819</v>
      </c>
      <c r="S133">
        <f t="shared" si="23"/>
        <v>0</v>
      </c>
    </row>
    <row r="134" spans="1:19" x14ac:dyDescent="0.25">
      <c r="A134" s="3">
        <v>133</v>
      </c>
      <c r="B134" s="14">
        <v>119085</v>
      </c>
      <c r="C134" s="3">
        <v>70</v>
      </c>
      <c r="D134" s="3" t="s">
        <v>46</v>
      </c>
      <c r="E134" s="15">
        <v>45936</v>
      </c>
      <c r="F134" s="6">
        <v>45988</v>
      </c>
      <c r="G134" s="3" t="s">
        <v>8</v>
      </c>
      <c r="H134" s="3" t="s">
        <v>22</v>
      </c>
      <c r="I134" s="3">
        <v>1</v>
      </c>
      <c r="J134" s="3">
        <v>0</v>
      </c>
      <c r="K134" s="3">
        <v>1</v>
      </c>
      <c r="L134" s="3">
        <v>6</v>
      </c>
      <c r="M134" s="3">
        <v>24</v>
      </c>
      <c r="N134" s="3">
        <v>6</v>
      </c>
      <c r="O134" s="7">
        <f t="shared" si="22"/>
        <v>54.897000433601882</v>
      </c>
      <c r="P134" s="16">
        <f t="shared" si="22"/>
        <v>85</v>
      </c>
      <c r="Q134" s="8">
        <f t="shared" si="19"/>
        <v>30.102999566398118</v>
      </c>
      <c r="S134">
        <f t="shared" si="23"/>
        <v>0</v>
      </c>
    </row>
    <row r="135" spans="1:19" x14ac:dyDescent="0.25">
      <c r="A135" s="3">
        <v>134</v>
      </c>
      <c r="B135" s="14">
        <v>140513</v>
      </c>
      <c r="C135" s="3">
        <v>69</v>
      </c>
      <c r="D135" s="3" t="s">
        <v>46</v>
      </c>
      <c r="E135" s="15">
        <v>45951</v>
      </c>
      <c r="F135" s="6">
        <v>46021</v>
      </c>
      <c r="G135" s="3" t="s">
        <v>8</v>
      </c>
      <c r="H135" s="3" t="s">
        <v>18</v>
      </c>
      <c r="I135" s="3">
        <v>1</v>
      </c>
      <c r="J135" s="3">
        <v>0</v>
      </c>
      <c r="K135" s="3">
        <v>1</v>
      </c>
      <c r="L135" s="3">
        <v>6</v>
      </c>
      <c r="M135" s="3" t="s">
        <v>39</v>
      </c>
      <c r="N135" s="3">
        <v>36</v>
      </c>
      <c r="O135" s="7">
        <v>0</v>
      </c>
      <c r="P135" s="16">
        <f t="shared" ref="P135:P144" si="24">85+50*LOG10(6/N135)</f>
        <v>46.092437480817821</v>
      </c>
      <c r="Q135" s="8">
        <f t="shared" si="19"/>
        <v>46.092437480817821</v>
      </c>
      <c r="S135">
        <f t="shared" si="23"/>
        <v>0</v>
      </c>
    </row>
    <row r="136" spans="1:19" x14ac:dyDescent="0.25">
      <c r="A136" s="3">
        <v>135</v>
      </c>
      <c r="B136" s="14">
        <v>1051933</v>
      </c>
      <c r="C136" s="3">
        <v>78</v>
      </c>
      <c r="D136" s="3" t="s">
        <v>46</v>
      </c>
      <c r="E136" s="15">
        <v>45945</v>
      </c>
      <c r="F136" s="6">
        <v>46000</v>
      </c>
      <c r="G136" s="3" t="s">
        <v>8</v>
      </c>
      <c r="H136" s="3" t="s">
        <v>18</v>
      </c>
      <c r="I136" s="3">
        <v>1</v>
      </c>
      <c r="J136" s="3">
        <v>0</v>
      </c>
      <c r="K136" s="3">
        <v>1</v>
      </c>
      <c r="L136" s="3">
        <v>5</v>
      </c>
      <c r="M136" s="3">
        <v>36</v>
      </c>
      <c r="N136" s="3">
        <v>24</v>
      </c>
      <c r="O136" s="7">
        <f>85+50*LOG10(6/M136)</f>
        <v>46.092437480817821</v>
      </c>
      <c r="P136" s="16">
        <f t="shared" si="24"/>
        <v>54.897000433601882</v>
      </c>
      <c r="Q136" s="8">
        <f t="shared" si="19"/>
        <v>8.8045629527840603</v>
      </c>
      <c r="S136">
        <f t="shared" si="23"/>
        <v>0</v>
      </c>
    </row>
    <row r="137" spans="1:19" x14ac:dyDescent="0.25">
      <c r="A137" s="3">
        <v>136</v>
      </c>
      <c r="B137" s="14">
        <v>102475</v>
      </c>
      <c r="C137" s="3">
        <v>58</v>
      </c>
      <c r="D137" s="3" t="s">
        <v>46</v>
      </c>
      <c r="E137" s="6">
        <v>45965</v>
      </c>
      <c r="F137" s="15">
        <v>46010</v>
      </c>
      <c r="G137" s="3" t="s">
        <v>8</v>
      </c>
      <c r="H137" s="3" t="s">
        <v>22</v>
      </c>
      <c r="I137" s="3">
        <v>1</v>
      </c>
      <c r="J137" s="3">
        <v>0</v>
      </c>
      <c r="K137" s="3">
        <f>SUM(I$2:I$155+J$2:J$155)</f>
        <v>1</v>
      </c>
      <c r="L137" s="3">
        <v>6</v>
      </c>
      <c r="M137" s="3">
        <v>180</v>
      </c>
      <c r="N137" s="3">
        <v>24</v>
      </c>
      <c r="O137" s="7">
        <f>85+50*LOG10(6/M137)</f>
        <v>11.143937264016884</v>
      </c>
      <c r="P137" s="16">
        <f t="shared" si="24"/>
        <v>54.897000433601882</v>
      </c>
      <c r="Q137" s="8">
        <f t="shared" si="19"/>
        <v>43.753063169584998</v>
      </c>
      <c r="S137">
        <f t="shared" si="23"/>
        <v>0</v>
      </c>
    </row>
    <row r="138" spans="1:19" x14ac:dyDescent="0.25">
      <c r="A138" s="3">
        <v>137</v>
      </c>
      <c r="B138" s="14">
        <v>550752</v>
      </c>
      <c r="C138" s="3">
        <v>69</v>
      </c>
      <c r="D138" s="3" t="s">
        <v>47</v>
      </c>
      <c r="E138" s="15">
        <v>45955</v>
      </c>
      <c r="F138" s="6">
        <v>46003</v>
      </c>
      <c r="G138" s="3" t="s">
        <v>8</v>
      </c>
      <c r="H138" s="3" t="s">
        <v>18</v>
      </c>
      <c r="I138" s="3">
        <v>1</v>
      </c>
      <c r="J138" s="3">
        <v>0</v>
      </c>
      <c r="K138" s="3">
        <f>SUM(I$2:I$155+J$2:J$155)</f>
        <v>1</v>
      </c>
      <c r="L138" s="3">
        <v>6</v>
      </c>
      <c r="M138" s="3">
        <v>36</v>
      </c>
      <c r="N138" s="3">
        <v>12</v>
      </c>
      <c r="O138" s="7">
        <f>85+50*LOG10(6/M138)</f>
        <v>46.092437480817821</v>
      </c>
      <c r="P138" s="16">
        <f t="shared" si="24"/>
        <v>69.948500216800937</v>
      </c>
      <c r="Q138" s="8">
        <f t="shared" si="19"/>
        <v>23.856062735983116</v>
      </c>
      <c r="S138">
        <f t="shared" si="23"/>
        <v>0</v>
      </c>
    </row>
    <row r="139" spans="1:19" x14ac:dyDescent="0.25">
      <c r="A139" s="3">
        <v>138</v>
      </c>
      <c r="B139" s="14">
        <v>3055031</v>
      </c>
      <c r="C139" s="3">
        <v>64</v>
      </c>
      <c r="D139" s="3" t="s">
        <v>47</v>
      </c>
      <c r="E139" s="15">
        <v>45957</v>
      </c>
      <c r="F139" s="6">
        <v>46006</v>
      </c>
      <c r="G139" s="3" t="s">
        <v>8</v>
      </c>
      <c r="H139" s="3" t="s">
        <v>22</v>
      </c>
      <c r="I139" s="3">
        <v>1</v>
      </c>
      <c r="J139" s="3">
        <v>0</v>
      </c>
      <c r="K139" s="3">
        <v>1</v>
      </c>
      <c r="L139" s="3">
        <v>7</v>
      </c>
      <c r="M139" s="3">
        <v>36</v>
      </c>
      <c r="N139" s="3">
        <v>240</v>
      </c>
      <c r="O139" s="7">
        <f>85+50*LOG10(6/M139)</f>
        <v>46.092437480817821</v>
      </c>
      <c r="P139" s="16">
        <f t="shared" si="24"/>
        <v>4.8970004336018889</v>
      </c>
      <c r="Q139" s="8">
        <f t="shared" si="19"/>
        <v>-41.195437047215933</v>
      </c>
      <c r="S139">
        <f t="shared" si="23"/>
        <v>1</v>
      </c>
    </row>
    <row r="140" spans="1:19" x14ac:dyDescent="0.25">
      <c r="A140" s="3">
        <v>139</v>
      </c>
      <c r="B140" s="14">
        <v>1052558</v>
      </c>
      <c r="C140" s="3">
        <v>62</v>
      </c>
      <c r="D140" s="3" t="s">
        <v>47</v>
      </c>
      <c r="E140" s="15">
        <v>45966</v>
      </c>
      <c r="F140" s="6">
        <v>46008</v>
      </c>
      <c r="G140" s="3" t="s">
        <v>8</v>
      </c>
      <c r="H140" s="3" t="s">
        <v>18</v>
      </c>
      <c r="I140" s="3">
        <v>1</v>
      </c>
      <c r="J140" s="3">
        <v>0</v>
      </c>
      <c r="K140" s="3">
        <f t="shared" ref="K140:K155" si="25">SUM(I$2:I$155+J$2:J$155)</f>
        <v>1</v>
      </c>
      <c r="L140" s="3">
        <v>7</v>
      </c>
      <c r="M140" s="3" t="s">
        <v>23</v>
      </c>
      <c r="N140" s="3">
        <v>24</v>
      </c>
      <c r="O140" s="7">
        <v>0</v>
      </c>
      <c r="P140" s="16">
        <f t="shared" si="24"/>
        <v>54.897000433601882</v>
      </c>
      <c r="Q140" s="8">
        <f t="shared" si="19"/>
        <v>54.897000433601882</v>
      </c>
      <c r="S140">
        <f t="shared" si="23"/>
        <v>0</v>
      </c>
    </row>
    <row r="141" spans="1:19" x14ac:dyDescent="0.25">
      <c r="A141" s="3">
        <v>140</v>
      </c>
      <c r="B141" s="14">
        <v>1051749</v>
      </c>
      <c r="C141" s="3">
        <v>67</v>
      </c>
      <c r="D141" s="3" t="s">
        <v>46</v>
      </c>
      <c r="E141" s="15">
        <v>45958</v>
      </c>
      <c r="F141" s="6">
        <v>45986</v>
      </c>
      <c r="G141" s="3" t="s">
        <v>8</v>
      </c>
      <c r="H141" s="3" t="s">
        <v>22</v>
      </c>
      <c r="I141" s="3">
        <v>1</v>
      </c>
      <c r="J141" s="3">
        <v>0</v>
      </c>
      <c r="K141" s="3">
        <f t="shared" si="25"/>
        <v>1</v>
      </c>
      <c r="L141" s="3">
        <v>5</v>
      </c>
      <c r="M141" s="3" t="s">
        <v>29</v>
      </c>
      <c r="N141" s="3">
        <v>12</v>
      </c>
      <c r="O141" s="7">
        <v>0</v>
      </c>
      <c r="P141" s="16">
        <f t="shared" si="24"/>
        <v>69.948500216800937</v>
      </c>
      <c r="Q141" s="8">
        <f t="shared" si="19"/>
        <v>69.948500216800937</v>
      </c>
      <c r="S141">
        <f t="shared" si="23"/>
        <v>0</v>
      </c>
    </row>
    <row r="142" spans="1:19" x14ac:dyDescent="0.25">
      <c r="A142" s="3">
        <v>141</v>
      </c>
      <c r="B142" s="14">
        <v>4009359</v>
      </c>
      <c r="C142" s="3">
        <v>56</v>
      </c>
      <c r="D142" s="3" t="s">
        <v>46</v>
      </c>
      <c r="E142" s="15">
        <v>45947</v>
      </c>
      <c r="F142" s="6">
        <v>45995</v>
      </c>
      <c r="G142" s="3" t="s">
        <v>8</v>
      </c>
      <c r="H142" s="3" t="s">
        <v>18</v>
      </c>
      <c r="I142" s="3">
        <v>1</v>
      </c>
      <c r="J142" s="3">
        <v>0</v>
      </c>
      <c r="K142" s="3">
        <f t="shared" si="25"/>
        <v>1</v>
      </c>
      <c r="L142" s="3">
        <v>4</v>
      </c>
      <c r="M142" s="3">
        <v>240</v>
      </c>
      <c r="N142" s="3">
        <v>24</v>
      </c>
      <c r="O142" s="7">
        <f>85+50*LOG10(6/M142)</f>
        <v>4.8970004336018889</v>
      </c>
      <c r="P142" s="16">
        <f t="shared" si="24"/>
        <v>54.897000433601882</v>
      </c>
      <c r="Q142" s="8">
        <f t="shared" si="19"/>
        <v>49.999999999999993</v>
      </c>
      <c r="S142">
        <f t="shared" si="23"/>
        <v>0</v>
      </c>
    </row>
    <row r="143" spans="1:19" x14ac:dyDescent="0.25">
      <c r="A143" s="3">
        <v>142</v>
      </c>
      <c r="B143" s="14">
        <v>4009849</v>
      </c>
      <c r="C143" s="3">
        <v>60</v>
      </c>
      <c r="D143" s="3" t="s">
        <v>46</v>
      </c>
      <c r="E143" s="15">
        <v>45968</v>
      </c>
      <c r="F143" s="6">
        <v>46009</v>
      </c>
      <c r="G143" s="3" t="s">
        <v>8</v>
      </c>
      <c r="H143" s="3" t="s">
        <v>22</v>
      </c>
      <c r="I143" s="3">
        <v>1</v>
      </c>
      <c r="J143" s="3">
        <v>0</v>
      </c>
      <c r="K143" s="3">
        <f t="shared" si="25"/>
        <v>1</v>
      </c>
      <c r="L143" s="3">
        <v>6</v>
      </c>
      <c r="M143" s="3" t="s">
        <v>23</v>
      </c>
      <c r="N143" s="3">
        <v>240</v>
      </c>
      <c r="O143" s="7">
        <v>0</v>
      </c>
      <c r="P143" s="16">
        <f t="shared" si="24"/>
        <v>4.8970004336018889</v>
      </c>
      <c r="Q143" s="8">
        <f t="shared" si="19"/>
        <v>4.8970004336018889</v>
      </c>
      <c r="S143">
        <f t="shared" si="23"/>
        <v>0</v>
      </c>
    </row>
    <row r="144" spans="1:19" x14ac:dyDescent="0.25">
      <c r="A144" s="3">
        <v>143</v>
      </c>
      <c r="B144" s="14">
        <v>4000901</v>
      </c>
      <c r="C144" s="3">
        <v>57</v>
      </c>
      <c r="D144" s="3" t="s">
        <v>46</v>
      </c>
      <c r="E144" s="15">
        <v>45910</v>
      </c>
      <c r="F144" s="6">
        <v>46009</v>
      </c>
      <c r="G144" s="3" t="s">
        <v>8</v>
      </c>
      <c r="H144" s="3" t="s">
        <v>22</v>
      </c>
      <c r="I144" s="3">
        <v>1</v>
      </c>
      <c r="J144" s="3">
        <v>0</v>
      </c>
      <c r="K144" s="3">
        <f t="shared" si="25"/>
        <v>1</v>
      </c>
      <c r="L144" s="3">
        <v>11</v>
      </c>
      <c r="M144" s="3">
        <v>12</v>
      </c>
      <c r="N144" s="3">
        <v>24</v>
      </c>
      <c r="O144" s="7">
        <f t="shared" ref="O144:O156" si="26">85+50*LOG10(6/M144)</f>
        <v>69.948500216800937</v>
      </c>
      <c r="P144" s="16">
        <f t="shared" si="24"/>
        <v>54.897000433601882</v>
      </c>
      <c r="Q144" s="8">
        <f t="shared" si="19"/>
        <v>-15.051499783199056</v>
      </c>
      <c r="S144">
        <f t="shared" si="23"/>
        <v>1</v>
      </c>
    </row>
    <row r="145" spans="1:19" x14ac:dyDescent="0.25">
      <c r="A145" s="3">
        <v>144</v>
      </c>
      <c r="B145" s="14">
        <v>1053007</v>
      </c>
      <c r="C145" s="3">
        <v>53</v>
      </c>
      <c r="D145" s="3" t="s">
        <v>46</v>
      </c>
      <c r="E145" s="15">
        <v>45985</v>
      </c>
      <c r="F145" s="6">
        <v>45988</v>
      </c>
      <c r="G145" s="3" t="s">
        <v>8</v>
      </c>
      <c r="H145" s="3" t="s">
        <v>22</v>
      </c>
      <c r="I145" s="3">
        <v>1</v>
      </c>
      <c r="J145" s="3">
        <v>0</v>
      </c>
      <c r="K145" s="3">
        <f t="shared" si="25"/>
        <v>1</v>
      </c>
      <c r="L145" s="3">
        <v>5</v>
      </c>
      <c r="M145" s="3">
        <v>240</v>
      </c>
      <c r="N145" s="3" t="s">
        <v>29</v>
      </c>
      <c r="O145" s="7">
        <f t="shared" si="26"/>
        <v>4.8970004336018889</v>
      </c>
      <c r="P145" s="16">
        <v>0</v>
      </c>
      <c r="Q145" s="8">
        <f t="shared" si="19"/>
        <v>-4.8970004336018889</v>
      </c>
      <c r="S145">
        <f t="shared" si="23"/>
        <v>1</v>
      </c>
    </row>
    <row r="146" spans="1:19" x14ac:dyDescent="0.25">
      <c r="A146" s="3">
        <v>145</v>
      </c>
      <c r="B146" s="14">
        <v>1051810</v>
      </c>
      <c r="C146" s="3">
        <v>69</v>
      </c>
      <c r="D146" s="3" t="s">
        <v>46</v>
      </c>
      <c r="E146" s="15">
        <v>45966</v>
      </c>
      <c r="F146" s="6">
        <v>46020</v>
      </c>
      <c r="G146" s="3" t="s">
        <v>8</v>
      </c>
      <c r="H146" s="3" t="s">
        <v>18</v>
      </c>
      <c r="I146" s="3">
        <v>1</v>
      </c>
      <c r="J146" s="3">
        <v>0</v>
      </c>
      <c r="K146" s="3">
        <f t="shared" si="25"/>
        <v>1</v>
      </c>
      <c r="L146" s="3">
        <v>3</v>
      </c>
      <c r="M146" s="3">
        <v>18</v>
      </c>
      <c r="N146" s="3">
        <v>9</v>
      </c>
      <c r="O146" s="7">
        <f t="shared" si="26"/>
        <v>61.143937264016877</v>
      </c>
      <c r="P146" s="16">
        <f t="shared" ref="P146:P156" si="27">85+50*LOG10(6/N146)</f>
        <v>76.195437047215933</v>
      </c>
      <c r="Q146" s="8">
        <f t="shared" si="19"/>
        <v>15.051499783199056</v>
      </c>
      <c r="S146">
        <f t="shared" si="23"/>
        <v>0</v>
      </c>
    </row>
    <row r="147" spans="1:19" x14ac:dyDescent="0.25">
      <c r="A147" s="3">
        <v>146</v>
      </c>
      <c r="B147" s="14" t="s">
        <v>68</v>
      </c>
      <c r="C147" s="3">
        <v>65</v>
      </c>
      <c r="D147" s="3" t="s">
        <v>47</v>
      </c>
      <c r="E147" s="15">
        <v>45973</v>
      </c>
      <c r="F147" s="6">
        <v>46018</v>
      </c>
      <c r="G147" s="3" t="s">
        <v>8</v>
      </c>
      <c r="H147" s="3" t="s">
        <v>18</v>
      </c>
      <c r="I147" s="3">
        <v>1</v>
      </c>
      <c r="J147" s="3">
        <v>0</v>
      </c>
      <c r="K147" s="3">
        <f t="shared" si="25"/>
        <v>1</v>
      </c>
      <c r="L147" s="3">
        <v>3</v>
      </c>
      <c r="M147" s="3">
        <v>12</v>
      </c>
      <c r="N147" s="3">
        <v>9</v>
      </c>
      <c r="O147" s="7">
        <f t="shared" si="26"/>
        <v>69.948500216800937</v>
      </c>
      <c r="P147" s="16">
        <f t="shared" si="27"/>
        <v>76.195437047215933</v>
      </c>
      <c r="Q147" s="8">
        <f t="shared" si="19"/>
        <v>6.2469368304149953</v>
      </c>
      <c r="S147">
        <f t="shared" si="23"/>
        <v>0</v>
      </c>
    </row>
    <row r="148" spans="1:19" x14ac:dyDescent="0.25">
      <c r="A148" s="3">
        <v>147</v>
      </c>
      <c r="B148" s="14">
        <v>166387</v>
      </c>
      <c r="C148" s="3">
        <v>53</v>
      </c>
      <c r="D148" s="3" t="s">
        <v>46</v>
      </c>
      <c r="E148" s="15">
        <v>45989</v>
      </c>
      <c r="F148" s="6">
        <v>46020</v>
      </c>
      <c r="G148" s="3" t="s">
        <v>8</v>
      </c>
      <c r="H148" s="3" t="s">
        <v>18</v>
      </c>
      <c r="I148" s="3">
        <v>1</v>
      </c>
      <c r="J148" s="3">
        <v>0</v>
      </c>
      <c r="K148" s="3">
        <f t="shared" si="25"/>
        <v>1</v>
      </c>
      <c r="L148" s="3">
        <v>10</v>
      </c>
      <c r="M148" s="3">
        <v>6</v>
      </c>
      <c r="N148" s="3">
        <v>9</v>
      </c>
      <c r="O148" s="7">
        <f t="shared" si="26"/>
        <v>85</v>
      </c>
      <c r="P148" s="16">
        <f t="shared" si="27"/>
        <v>76.195437047215933</v>
      </c>
      <c r="Q148" s="8">
        <f t="shared" si="19"/>
        <v>-8.8045629527840674</v>
      </c>
      <c r="S148">
        <f t="shared" si="23"/>
        <v>1</v>
      </c>
    </row>
    <row r="149" spans="1:19" x14ac:dyDescent="0.25">
      <c r="A149" s="3">
        <v>148</v>
      </c>
      <c r="B149" s="14">
        <v>1031552</v>
      </c>
      <c r="C149" s="3">
        <v>65</v>
      </c>
      <c r="D149" s="3" t="s">
        <v>46</v>
      </c>
      <c r="E149" s="15">
        <v>45391</v>
      </c>
      <c r="F149" s="6">
        <v>46006</v>
      </c>
      <c r="G149" s="3" t="s">
        <v>8</v>
      </c>
      <c r="H149" s="3" t="s">
        <v>22</v>
      </c>
      <c r="I149" s="3">
        <v>1</v>
      </c>
      <c r="J149" s="3">
        <v>0</v>
      </c>
      <c r="K149" s="3">
        <f t="shared" si="25"/>
        <v>1</v>
      </c>
      <c r="L149" s="3">
        <v>7</v>
      </c>
      <c r="M149" s="3">
        <v>36</v>
      </c>
      <c r="N149" s="3">
        <v>18</v>
      </c>
      <c r="O149" s="7">
        <f t="shared" si="26"/>
        <v>46.092437480817821</v>
      </c>
      <c r="P149" s="16">
        <f t="shared" si="27"/>
        <v>61.143937264016877</v>
      </c>
      <c r="Q149" s="8">
        <f t="shared" si="19"/>
        <v>15.051499783199056</v>
      </c>
      <c r="S149">
        <f t="shared" si="23"/>
        <v>0</v>
      </c>
    </row>
    <row r="150" spans="1:19" x14ac:dyDescent="0.25">
      <c r="A150" s="3">
        <v>149</v>
      </c>
      <c r="B150" s="14">
        <v>1053176</v>
      </c>
      <c r="C150" s="3">
        <v>54</v>
      </c>
      <c r="D150" s="3" t="s">
        <v>46</v>
      </c>
      <c r="E150" s="15">
        <v>45982</v>
      </c>
      <c r="F150" s="6">
        <v>46020</v>
      </c>
      <c r="G150" s="3" t="s">
        <v>8</v>
      </c>
      <c r="H150" s="3" t="s">
        <v>18</v>
      </c>
      <c r="I150" s="3">
        <v>1</v>
      </c>
      <c r="J150" s="3">
        <v>0</v>
      </c>
      <c r="K150" s="3">
        <f t="shared" si="25"/>
        <v>1</v>
      </c>
      <c r="L150" s="3">
        <v>9</v>
      </c>
      <c r="M150" s="3">
        <v>36</v>
      </c>
      <c r="N150" s="3">
        <v>36</v>
      </c>
      <c r="O150" s="7">
        <f t="shared" si="26"/>
        <v>46.092437480817821</v>
      </c>
      <c r="P150" s="16">
        <f t="shared" si="27"/>
        <v>46.092437480817821</v>
      </c>
      <c r="Q150" s="8">
        <f t="shared" si="19"/>
        <v>0</v>
      </c>
      <c r="S150">
        <f t="shared" si="23"/>
        <v>0</v>
      </c>
    </row>
    <row r="151" spans="1:19" x14ac:dyDescent="0.25">
      <c r="A151" s="3">
        <v>150</v>
      </c>
      <c r="B151" s="14">
        <v>432859</v>
      </c>
      <c r="C151" s="3">
        <v>59</v>
      </c>
      <c r="D151" s="3" t="s">
        <v>46</v>
      </c>
      <c r="E151" s="15">
        <v>45996</v>
      </c>
      <c r="F151" s="6">
        <v>46009</v>
      </c>
      <c r="G151" s="3" t="s">
        <v>8</v>
      </c>
      <c r="H151" s="3" t="s">
        <v>18</v>
      </c>
      <c r="I151" s="3">
        <v>1</v>
      </c>
      <c r="J151" s="3">
        <v>0</v>
      </c>
      <c r="K151" s="3">
        <f t="shared" si="25"/>
        <v>1</v>
      </c>
      <c r="L151" s="3">
        <v>5</v>
      </c>
      <c r="M151" s="3">
        <v>60</v>
      </c>
      <c r="N151" s="3">
        <v>60</v>
      </c>
      <c r="O151" s="7">
        <f t="shared" si="26"/>
        <v>35</v>
      </c>
      <c r="P151" s="16">
        <f t="shared" si="27"/>
        <v>35</v>
      </c>
      <c r="Q151" s="8">
        <f t="shared" si="19"/>
        <v>0</v>
      </c>
      <c r="S151">
        <f t="shared" si="23"/>
        <v>0</v>
      </c>
    </row>
    <row r="152" spans="1:19" x14ac:dyDescent="0.25">
      <c r="A152" s="3">
        <v>151</v>
      </c>
      <c r="B152" s="14">
        <v>160272</v>
      </c>
      <c r="C152" s="3">
        <v>69</v>
      </c>
      <c r="D152" s="3" t="s">
        <v>47</v>
      </c>
      <c r="E152" s="15">
        <v>45390</v>
      </c>
      <c r="F152" s="6">
        <v>46010</v>
      </c>
      <c r="G152" s="3" t="s">
        <v>8</v>
      </c>
      <c r="H152" s="3" t="s">
        <v>18</v>
      </c>
      <c r="I152" s="3">
        <v>1</v>
      </c>
      <c r="J152" s="3">
        <v>0</v>
      </c>
      <c r="K152" s="3">
        <f t="shared" si="25"/>
        <v>1</v>
      </c>
      <c r="L152" s="3">
        <v>7</v>
      </c>
      <c r="M152" s="3">
        <v>180</v>
      </c>
      <c r="N152" s="3">
        <v>9</v>
      </c>
      <c r="O152" s="7">
        <f t="shared" si="26"/>
        <v>11.143937264016884</v>
      </c>
      <c r="P152" s="16">
        <f t="shared" si="27"/>
        <v>76.195437047215933</v>
      </c>
      <c r="Q152" s="8">
        <f t="shared" si="19"/>
        <v>65.051499783199048</v>
      </c>
      <c r="S152">
        <f t="shared" si="23"/>
        <v>0</v>
      </c>
    </row>
    <row r="153" spans="1:19" x14ac:dyDescent="0.25">
      <c r="A153" s="3">
        <v>152</v>
      </c>
      <c r="B153" s="14">
        <v>1053297</v>
      </c>
      <c r="C153" s="3">
        <v>57</v>
      </c>
      <c r="D153" s="3" t="s">
        <v>46</v>
      </c>
      <c r="E153" s="15">
        <v>45993</v>
      </c>
      <c r="F153" s="6">
        <v>46016</v>
      </c>
      <c r="G153" s="3" t="s">
        <v>8</v>
      </c>
      <c r="H153" s="3" t="s">
        <v>22</v>
      </c>
      <c r="I153" s="3">
        <v>1</v>
      </c>
      <c r="J153" s="3">
        <v>0</v>
      </c>
      <c r="K153" s="3">
        <f t="shared" si="25"/>
        <v>1</v>
      </c>
      <c r="L153" s="3">
        <v>4</v>
      </c>
      <c r="M153" s="3">
        <v>300</v>
      </c>
      <c r="N153" s="3">
        <v>12</v>
      </c>
      <c r="O153" s="7">
        <f t="shared" si="26"/>
        <v>5.1499783199062676E-2</v>
      </c>
      <c r="P153" s="16">
        <f t="shared" si="27"/>
        <v>69.948500216800937</v>
      </c>
      <c r="Q153" s="8">
        <f t="shared" si="19"/>
        <v>69.897000433601875</v>
      </c>
      <c r="S153">
        <f t="shared" si="23"/>
        <v>0</v>
      </c>
    </row>
    <row r="154" spans="1:19" x14ac:dyDescent="0.25">
      <c r="A154" s="3">
        <v>153</v>
      </c>
      <c r="B154" s="14">
        <v>3023883</v>
      </c>
      <c r="C154" s="3">
        <v>59</v>
      </c>
      <c r="D154" s="3" t="s">
        <v>46</v>
      </c>
      <c r="E154" s="15">
        <v>46002</v>
      </c>
      <c r="F154" s="6">
        <v>46027</v>
      </c>
      <c r="G154" s="3" t="s">
        <v>8</v>
      </c>
      <c r="H154" s="3" t="s">
        <v>18</v>
      </c>
      <c r="I154" s="3">
        <v>1</v>
      </c>
      <c r="J154" s="3">
        <v>0</v>
      </c>
      <c r="K154" s="3">
        <f t="shared" si="25"/>
        <v>1</v>
      </c>
      <c r="L154" s="3">
        <v>4</v>
      </c>
      <c r="M154" s="3">
        <v>240</v>
      </c>
      <c r="N154" s="3">
        <v>18</v>
      </c>
      <c r="O154" s="7">
        <f t="shared" si="26"/>
        <v>4.8970004336018889</v>
      </c>
      <c r="P154" s="16">
        <f t="shared" si="27"/>
        <v>61.143937264016877</v>
      </c>
      <c r="Q154" s="8">
        <f t="shared" si="19"/>
        <v>56.246936830414988</v>
      </c>
      <c r="S154">
        <f t="shared" si="23"/>
        <v>0</v>
      </c>
    </row>
    <row r="155" spans="1:19" x14ac:dyDescent="0.25">
      <c r="A155" s="3">
        <v>154</v>
      </c>
      <c r="B155" s="14" t="s">
        <v>69</v>
      </c>
      <c r="C155" s="3">
        <v>53</v>
      </c>
      <c r="D155" s="3" t="s">
        <v>47</v>
      </c>
      <c r="E155" s="15">
        <v>46022</v>
      </c>
      <c r="F155" s="6">
        <v>46023</v>
      </c>
      <c r="G155" s="3" t="s">
        <v>8</v>
      </c>
      <c r="H155" s="3" t="s">
        <v>18</v>
      </c>
      <c r="I155" s="3">
        <v>1</v>
      </c>
      <c r="J155" s="3">
        <v>0</v>
      </c>
      <c r="K155" s="3">
        <f t="shared" si="25"/>
        <v>1</v>
      </c>
      <c r="L155" s="3">
        <v>2</v>
      </c>
      <c r="M155" s="3">
        <v>36</v>
      </c>
      <c r="N155" s="3">
        <v>24</v>
      </c>
      <c r="O155" s="7">
        <f t="shared" si="26"/>
        <v>46.092437480817821</v>
      </c>
      <c r="P155" s="16">
        <f t="shared" si="27"/>
        <v>54.897000433601882</v>
      </c>
      <c r="Q155" s="8">
        <f t="shared" si="19"/>
        <v>8.8045629527840603</v>
      </c>
      <c r="S155">
        <f t="shared" si="23"/>
        <v>0</v>
      </c>
    </row>
    <row r="156" spans="1:19" x14ac:dyDescent="0.25">
      <c r="A156" s="3">
        <v>155</v>
      </c>
      <c r="B156" s="4">
        <v>3072988</v>
      </c>
      <c r="C156" s="4">
        <v>42</v>
      </c>
      <c r="D156" s="4" t="s">
        <v>17</v>
      </c>
      <c r="E156" s="5">
        <v>45561</v>
      </c>
      <c r="F156" s="6">
        <v>45736</v>
      </c>
      <c r="G156" s="4" t="s">
        <v>8</v>
      </c>
      <c r="H156" s="3" t="s">
        <v>18</v>
      </c>
      <c r="I156" s="3">
        <v>1</v>
      </c>
      <c r="J156" s="3">
        <v>0</v>
      </c>
      <c r="K156" s="3">
        <v>1</v>
      </c>
      <c r="L156" s="3">
        <v>10</v>
      </c>
      <c r="M156" s="3">
        <v>24</v>
      </c>
      <c r="N156" s="3">
        <v>7.5</v>
      </c>
      <c r="O156" s="7">
        <f t="shared" si="26"/>
        <v>54.897000433601882</v>
      </c>
      <c r="P156" s="8">
        <f t="shared" si="27"/>
        <v>80.154499349597174</v>
      </c>
      <c r="Q156" s="8">
        <f t="shared" si="19"/>
        <v>25.257498915995292</v>
      </c>
      <c r="S156">
        <f t="shared" si="23"/>
        <v>0</v>
      </c>
    </row>
    <row r="157" spans="1:19" x14ac:dyDescent="0.25">
      <c r="A157" s="3">
        <v>156</v>
      </c>
      <c r="B157" s="4">
        <v>1034033</v>
      </c>
      <c r="C157" s="4">
        <v>44</v>
      </c>
      <c r="D157" s="4" t="s">
        <v>19</v>
      </c>
      <c r="E157" s="5">
        <v>45475</v>
      </c>
      <c r="F157" s="6">
        <v>45558</v>
      </c>
      <c r="G157" s="4" t="s">
        <v>8</v>
      </c>
      <c r="H157" s="3" t="s">
        <v>22</v>
      </c>
      <c r="I157" s="3">
        <v>1</v>
      </c>
      <c r="J157" s="3">
        <v>0</v>
      </c>
      <c r="K157" s="3">
        <v>1</v>
      </c>
      <c r="L157" s="3">
        <v>23</v>
      </c>
      <c r="M157" s="3" t="s">
        <v>29</v>
      </c>
      <c r="N157" s="3" t="s">
        <v>29</v>
      </c>
      <c r="O157" s="7">
        <v>0</v>
      </c>
      <c r="P157" s="8">
        <v>0</v>
      </c>
      <c r="Q157" s="8">
        <f t="shared" si="19"/>
        <v>0</v>
      </c>
      <c r="S157">
        <f t="shared" si="23"/>
        <v>0</v>
      </c>
    </row>
  </sheetData>
  <conditionalFormatting sqref="B1">
    <cfRule type="duplicateValues" dxfId="100" priority="105"/>
    <cfRule type="duplicateValues" dxfId="99" priority="76"/>
    <cfRule type="duplicateValues" dxfId="98" priority="75"/>
    <cfRule type="duplicateValues" dxfId="97" priority="74"/>
    <cfRule type="duplicateValues" dxfId="96" priority="73"/>
    <cfRule type="duplicateValues" dxfId="95" priority="100"/>
    <cfRule type="duplicateValues" dxfId="94" priority="104"/>
    <cfRule type="duplicateValues" dxfId="93" priority="103"/>
    <cfRule type="duplicateValues" dxfId="92" priority="102"/>
    <cfRule type="duplicateValues" dxfId="91" priority="101"/>
    <cfRule type="duplicateValues" dxfId="90" priority="72"/>
    <cfRule type="duplicateValues" dxfId="89" priority="99"/>
    <cfRule type="duplicateValues" dxfId="88" priority="93"/>
    <cfRule type="duplicateValues" priority="98"/>
    <cfRule type="duplicateValues" dxfId="87" priority="97"/>
    <cfRule type="duplicateValues" dxfId="86" priority="96"/>
    <cfRule type="duplicateValues" dxfId="85" priority="95"/>
    <cfRule type="duplicateValues" dxfId="84" priority="94"/>
    <cfRule type="duplicateValues" dxfId="83" priority="92"/>
    <cfRule type="duplicateValues" dxfId="82" priority="91"/>
    <cfRule type="duplicateValues" dxfId="81" priority="90"/>
    <cfRule type="duplicateValues" dxfId="80" priority="89"/>
    <cfRule type="duplicateValues" dxfId="79" priority="88"/>
    <cfRule type="duplicateValues" dxfId="78" priority="87"/>
    <cfRule type="duplicateValues" dxfId="77" priority="86"/>
    <cfRule type="duplicateValues" dxfId="76" priority="85"/>
    <cfRule type="duplicateValues" dxfId="75" priority="84"/>
    <cfRule type="duplicateValues" dxfId="74" priority="83"/>
    <cfRule type="duplicateValues" dxfId="73" priority="82"/>
    <cfRule type="duplicateValues" dxfId="72" priority="81"/>
    <cfRule type="duplicateValues" dxfId="71" priority="80"/>
    <cfRule type="duplicateValues" dxfId="70" priority="79"/>
    <cfRule type="duplicateValues" dxfId="69" priority="78"/>
    <cfRule type="duplicateValues" dxfId="68" priority="77"/>
  </conditionalFormatting>
  <conditionalFormatting sqref="B2:B15">
    <cfRule type="duplicateValues" dxfId="67" priority="70"/>
  </conditionalFormatting>
  <conditionalFormatting sqref="B2:B25">
    <cfRule type="duplicateValues" dxfId="66" priority="69"/>
  </conditionalFormatting>
  <conditionalFormatting sqref="B2:B45">
    <cfRule type="duplicateValues" dxfId="65" priority="68"/>
  </conditionalFormatting>
  <conditionalFormatting sqref="B2:B63">
    <cfRule type="duplicateValues" dxfId="64" priority="64"/>
    <cfRule type="duplicateValues" dxfId="63" priority="63"/>
    <cfRule type="duplicateValues" dxfId="62" priority="65"/>
    <cfRule type="duplicateValues" dxfId="61" priority="67"/>
    <cfRule type="duplicateValues" dxfId="60" priority="66"/>
  </conditionalFormatting>
  <conditionalFormatting sqref="B2:B64">
    <cfRule type="duplicateValues" dxfId="59" priority="71"/>
  </conditionalFormatting>
  <conditionalFormatting sqref="B2:B87">
    <cfRule type="duplicateValues" dxfId="58" priority="62"/>
  </conditionalFormatting>
  <conditionalFormatting sqref="B2:B116">
    <cfRule type="duplicateValues" dxfId="57" priority="57"/>
  </conditionalFormatting>
  <conditionalFormatting sqref="B2:B131">
    <cfRule type="duplicateValues" dxfId="56" priority="55"/>
    <cfRule type="duplicateValues" dxfId="55" priority="56"/>
    <cfRule type="duplicateValues" dxfId="54" priority="54"/>
  </conditionalFormatting>
  <conditionalFormatting sqref="B2:B149">
    <cfRule type="duplicateValues" dxfId="53" priority="53"/>
  </conditionalFormatting>
  <conditionalFormatting sqref="B2:B155">
    <cfRule type="duplicateValues" dxfId="52" priority="47"/>
    <cfRule type="duplicateValues" dxfId="51" priority="48"/>
    <cfRule type="duplicateValues" dxfId="50" priority="44"/>
    <cfRule type="duplicateValues" dxfId="49" priority="46"/>
    <cfRule type="duplicateValues" dxfId="48" priority="45"/>
    <cfRule type="duplicateValues" dxfId="47" priority="52"/>
  </conditionalFormatting>
  <conditionalFormatting sqref="B25">
    <cfRule type="duplicateValues" dxfId="46" priority="58"/>
    <cfRule type="duplicateValues" dxfId="45" priority="59"/>
  </conditionalFormatting>
  <conditionalFormatting sqref="B115">
    <cfRule type="duplicateValues" dxfId="44" priority="60"/>
  </conditionalFormatting>
  <conditionalFormatting sqref="B116 B2:B114">
    <cfRule type="duplicateValues" dxfId="43" priority="61"/>
  </conditionalFormatting>
  <conditionalFormatting sqref="B156">
    <cfRule type="duplicateValues" dxfId="42" priority="29"/>
    <cfRule type="duplicateValues" dxfId="41" priority="28"/>
    <cfRule type="duplicateValues" dxfId="40" priority="27"/>
    <cfRule type="duplicateValues" dxfId="39" priority="26"/>
    <cfRule type="duplicateValues" dxfId="38" priority="25"/>
    <cfRule type="duplicateValues" dxfId="37" priority="40"/>
    <cfRule type="duplicateValues" dxfId="36" priority="43"/>
    <cfRule type="duplicateValues" dxfId="35" priority="42"/>
    <cfRule type="duplicateValues" dxfId="34" priority="41"/>
    <cfRule type="duplicateValues" dxfId="33" priority="39"/>
    <cfRule type="duplicateValues" dxfId="32" priority="38"/>
    <cfRule type="duplicateValues" dxfId="31" priority="37"/>
    <cfRule type="duplicateValues" dxfId="30" priority="36"/>
    <cfRule type="duplicateValues" dxfId="29" priority="35"/>
    <cfRule type="duplicateValues" dxfId="28" priority="34"/>
    <cfRule type="duplicateValues" dxfId="27" priority="33"/>
    <cfRule type="duplicateValues" dxfId="26" priority="32"/>
    <cfRule type="duplicateValues" dxfId="25" priority="31"/>
    <cfRule type="duplicateValues" dxfId="24" priority="30"/>
  </conditionalFormatting>
  <conditionalFormatting sqref="B157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13"/>
    <cfRule type="duplicateValues" dxfId="18" priority="24"/>
    <cfRule type="duplicateValues" dxfId="17" priority="23"/>
    <cfRule type="duplicateValues" dxfId="16" priority="22"/>
    <cfRule type="duplicateValues" dxfId="15" priority="21"/>
    <cfRule type="duplicateValues" dxfId="14" priority="20"/>
    <cfRule type="duplicateValues" dxfId="13" priority="19"/>
    <cfRule type="duplicateValues" dxfId="12" priority="1"/>
    <cfRule type="duplicateValues" dxfId="11" priority="18"/>
    <cfRule type="duplicateValues" dxfId="10" priority="17"/>
    <cfRule type="duplicateValues" dxfId="9" priority="16"/>
    <cfRule type="duplicateValues" dxfId="8" priority="15"/>
    <cfRule type="duplicateValues" dxfId="7" priority="14"/>
    <cfRule type="duplicateValues" dxfId="6" priority="12"/>
    <cfRule type="duplicateValues" dxfId="5" priority="11"/>
    <cfRule type="duplicateValues" dxfId="4" priority="10"/>
    <cfRule type="duplicateValues" dxfId="3" priority="9"/>
    <cfRule type="duplicateValues" dxfId="2" priority="8"/>
    <cfRule type="duplicateValues" dxfId="1" priority="7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Surgery &amp; Injection</vt:lpstr>
      <vt:lpstr>Injection</vt:lpstr>
      <vt:lpstr>Surgery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AJAIKUMAR S</dc:creator>
  <cp:lastModifiedBy>AJAIKUMAR S</cp:lastModifiedBy>
  <dcterms:created xsi:type="dcterms:W3CDTF">2026-01-08T05:14:32Z</dcterms:created>
  <dcterms:modified xsi:type="dcterms:W3CDTF">2026-01-27T07:15:42Z</dcterms:modified>
</cp:coreProperties>
</file>